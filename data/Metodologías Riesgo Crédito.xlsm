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.velasquez\Documents\Research\data\"/>
    </mc:Choice>
  </mc:AlternateContent>
  <bookViews>
    <workbookView xWindow="0" yWindow="0" windowWidth="10440" windowHeight="2280" activeTab="5"/>
  </bookViews>
  <sheets>
    <sheet name="1.1 Oil &amp; Gas" sheetId="1" r:id="rId1"/>
    <sheet name="1.2 Industrials" sheetId="2" r:id="rId2"/>
    <sheet name="1.3 Services" sheetId="3" r:id="rId3"/>
    <sheet name="1.4 Pharma" sheetId="4" r:id="rId4"/>
    <sheet name="2 C.E." sheetId="6" r:id="rId5"/>
    <sheet name="3 Algoritmo" sheetId="5" r:id="rId6"/>
  </sheets>
  <externalReferences>
    <externalReference r:id="rId7"/>
  </externalReferences>
  <definedNames>
    <definedName name="CIQWBGuid" hidden="1">"db4e938f-1b2a-4236-9ed1-b2a92b60fc38"</definedName>
    <definedName name="datos">'3 Algoritmo'!$F$6</definedName>
    <definedName name="indicadores">'3 Algoritmo'!$C$5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"10/20/2017 15:23:22"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n_per">'3 Algoritmo'!$G$3</definedName>
  </definedNames>
  <calcPr calcId="171027" calcMode="manual" iterate="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E10" i="5" l="1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7" i="5"/>
  <c r="E8" i="5"/>
  <c r="E9" i="5"/>
  <c r="E6" i="5"/>
  <c r="G4" i="6" l="1"/>
  <c r="H4" i="6" s="1"/>
  <c r="I4" i="6" s="1"/>
  <c r="J4" i="6" s="1"/>
  <c r="K4" i="6" s="1"/>
  <c r="L4" i="6" s="1"/>
  <c r="M4" i="6" s="1"/>
  <c r="N4" i="6" s="1"/>
</calcChain>
</file>

<file path=xl/comments1.xml><?xml version="1.0" encoding="utf-8"?>
<comments xmlns="http://schemas.openxmlformats.org/spreadsheetml/2006/main">
  <authors>
    <author>Administrador</author>
  </authors>
  <commentList>
    <comment ref="M7" authorId="0" shapeId="0">
      <text>
        <r>
          <rPr>
            <sz val="9"/>
            <color indexed="81"/>
            <rFont val="Tahoma"/>
            <family val="2"/>
          </rPr>
          <t>El horizonte de proyección se deberá extender hasta el vencimiento del crédito bajo análisis.</t>
        </r>
      </text>
    </comment>
  </commentList>
</comments>
</file>

<file path=xl/comments2.xml><?xml version="1.0" encoding="utf-8"?>
<comments xmlns="http://schemas.openxmlformats.org/spreadsheetml/2006/main">
  <authors>
    <author>Administrador</author>
  </authors>
  <commentList>
    <comment ref="K4" authorId="0" shapeId="0">
      <text>
        <r>
          <rPr>
            <sz val="9"/>
            <color indexed="81"/>
            <rFont val="Tahoma"/>
            <family val="2"/>
          </rPr>
          <t>El horizonte de proyección se deberá extender hasta el vencimiento del crédito bajo análisis.</t>
        </r>
      </text>
    </comment>
  </commentList>
</comments>
</file>

<file path=xl/comments3.xml><?xml version="1.0" encoding="utf-8"?>
<comments xmlns="http://schemas.openxmlformats.org/spreadsheetml/2006/main">
  <authors>
    <author>Administrador</author>
  </authors>
  <commentList>
    <comment ref="K4" authorId="0" shapeId="0">
      <text>
        <r>
          <rPr>
            <sz val="9"/>
            <color indexed="81"/>
            <rFont val="Tahoma"/>
            <family val="2"/>
          </rPr>
          <t>El horizonte de proyección se deberá extender hasta el vencimiento del crédito bajo análisis.</t>
        </r>
      </text>
    </comment>
  </commentList>
</comments>
</file>

<file path=xl/comments4.xml><?xml version="1.0" encoding="utf-8"?>
<comments xmlns="http://schemas.openxmlformats.org/spreadsheetml/2006/main">
  <authors>
    <author>Administrador</author>
  </authors>
  <commentList>
    <comment ref="K4" authorId="0" shapeId="0">
      <text>
        <r>
          <rPr>
            <sz val="9"/>
            <color indexed="81"/>
            <rFont val="Tahoma"/>
            <family val="2"/>
          </rPr>
          <t>El horizonte de proyección se deberá extender hasta el vencimiento del crédito bajo análisis.</t>
        </r>
      </text>
    </comment>
  </commentList>
</comments>
</file>

<file path=xl/comments5.xml><?xml version="1.0" encoding="utf-8"?>
<comments xmlns="http://schemas.openxmlformats.org/spreadsheetml/2006/main">
  <authors>
    <author>Administrador</author>
  </authors>
  <commentList>
    <comment ref="J4" authorId="0" shapeId="0">
      <text>
        <r>
          <rPr>
            <sz val="9"/>
            <color indexed="81"/>
            <rFont val="Tahoma"/>
            <family val="2"/>
          </rPr>
          <t>El horizonte de proyección se deberá extender hasta el vencimiento del crédito bajo análisis.</t>
        </r>
      </text>
    </comment>
  </commentList>
</comments>
</file>

<file path=xl/comments6.xml><?xml version="1.0" encoding="utf-8"?>
<comments xmlns="http://schemas.openxmlformats.org/spreadsheetml/2006/main">
  <authors>
    <author>Administrador</author>
  </authors>
  <commentList>
    <comment ref="L5" authorId="0" shapeId="0">
      <text>
        <r>
          <rPr>
            <sz val="9"/>
            <color indexed="81"/>
            <rFont val="Tahoma"/>
            <family val="2"/>
          </rPr>
          <t>El horizonte de proyección se deberá extender hasta el vencimiento del crédito bajo análisis.</t>
        </r>
      </text>
    </comment>
  </commentList>
</comments>
</file>

<file path=xl/sharedStrings.xml><?xml version="1.0" encoding="utf-8"?>
<sst xmlns="http://schemas.openxmlformats.org/spreadsheetml/2006/main" count="409" uniqueCount="202">
  <si>
    <t>Industry</t>
  </si>
  <si>
    <t>Factor</t>
  </si>
  <si>
    <t>Business Profile</t>
  </si>
  <si>
    <t>Financial Profile</t>
  </si>
  <si>
    <t>Notes</t>
  </si>
  <si>
    <t>Oil &amp; Gas</t>
  </si>
  <si>
    <t>Quantitative</t>
  </si>
  <si>
    <t xml:space="preserve">Management </t>
  </si>
  <si>
    <t>Diversification</t>
  </si>
  <si>
    <t xml:space="preserve">Proved </t>
  </si>
  <si>
    <t>Cash Flow Cycle</t>
  </si>
  <si>
    <t>Production Size</t>
  </si>
  <si>
    <t>Profitability</t>
  </si>
  <si>
    <t>Financial Structure</t>
  </si>
  <si>
    <t>Financial Flexibility</t>
  </si>
  <si>
    <t>&amp; Enviroment.</t>
  </si>
  <si>
    <t>Reserves</t>
  </si>
  <si>
    <t>(0) Total Debt = Deuda Senior, Junior, Coloteralizada y fuera de balance, de CP y LP</t>
  </si>
  <si>
    <t>CAPEX</t>
  </si>
  <si>
    <r>
      <t xml:space="preserve">Total Debt </t>
    </r>
    <r>
      <rPr>
        <sz val="8"/>
        <color theme="1"/>
        <rFont val="Calibri"/>
        <family val="2"/>
        <scheme val="minor"/>
      </rPr>
      <t>(0)</t>
    </r>
  </si>
  <si>
    <t>Cash + Credit Fac. + FCF (if positive)</t>
  </si>
  <si>
    <t>(1) FFO = EBITDAR + Fin. Income - Fin. Expenses - Cash Taxes - Net Dividends</t>
  </si>
  <si>
    <r>
      <t xml:space="preserve">CFO </t>
    </r>
    <r>
      <rPr>
        <sz val="8"/>
        <color theme="1"/>
        <rFont val="Calibri"/>
        <family val="2"/>
        <scheme val="minor"/>
      </rPr>
      <t>(2)</t>
    </r>
  </si>
  <si>
    <r>
      <t>FFO</t>
    </r>
    <r>
      <rPr>
        <sz val="8"/>
        <color theme="1"/>
        <rFont val="Calibri"/>
        <family val="2"/>
        <scheme val="minor"/>
      </rPr>
      <t>(1)</t>
    </r>
    <r>
      <rPr>
        <sz val="11"/>
        <color theme="1"/>
        <rFont val="Calibri"/>
        <family val="2"/>
        <scheme val="minor"/>
      </rPr>
      <t xml:space="preserve"> + Fin. Exp. - Fin. Inc. + Paid Div. + Leas. Exp.</t>
    </r>
  </si>
  <si>
    <t>12 Months Debt Mat. + FCF (if negative)</t>
  </si>
  <si>
    <t>Reserve Base (boe)</t>
  </si>
  <si>
    <t>Million boe/day</t>
  </si>
  <si>
    <t>(2) CFO = FFO + Change in Working Capital</t>
  </si>
  <si>
    <t>Developed %</t>
  </si>
  <si>
    <r>
      <t xml:space="preserve">Total Net Debt </t>
    </r>
    <r>
      <rPr>
        <sz val="8"/>
        <color theme="1"/>
        <rFont val="Calibri"/>
        <family val="2"/>
        <scheme val="minor"/>
      </rPr>
      <t>(3)</t>
    </r>
  </si>
  <si>
    <t>FD&amp;A Cost</t>
  </si>
  <si>
    <t>Fin. Exp.+ Paid Div. + Leas. Exp.</t>
  </si>
  <si>
    <t>(3) Total Net Debt = Total Debt (0) - Efectivo - Inversiones Negociables + Efectivo Restrigido</t>
  </si>
  <si>
    <t>(CFO per boe)</t>
  </si>
  <si>
    <t>FD&amp;A per boe</t>
  </si>
  <si>
    <r>
      <t xml:space="preserve">EBITDAR </t>
    </r>
    <r>
      <rPr>
        <sz val="8"/>
        <color theme="1"/>
        <rFont val="Calibri"/>
        <family val="2"/>
        <scheme val="minor"/>
      </rPr>
      <t>(4)</t>
    </r>
    <r>
      <rPr>
        <sz val="11"/>
        <color theme="1"/>
        <rFont val="Calibri"/>
        <family val="2"/>
        <scheme val="minor"/>
      </rPr>
      <t xml:space="preserve"> + Div. Income</t>
    </r>
  </si>
  <si>
    <t>(4) EBITDAR = EBITDA + Lease Expenses</t>
  </si>
  <si>
    <r>
      <t xml:space="preserve">EBITDAR </t>
    </r>
    <r>
      <rPr>
        <sz val="8"/>
        <color theme="1"/>
        <rFont val="Calibri"/>
        <family val="2"/>
        <scheme val="minor"/>
      </rPr>
      <t>(4)</t>
    </r>
  </si>
  <si>
    <t>Fin. Exp.+ Leas. Exp.</t>
  </si>
  <si>
    <t>Cualitative</t>
  </si>
  <si>
    <t>Strategy</t>
  </si>
  <si>
    <t>Diversification (Projects)</t>
  </si>
  <si>
    <t>How positive or</t>
  </si>
  <si>
    <t>Financial Discipline: Existance of a clear financial policy</t>
  </si>
  <si>
    <t>Gov. Structure</t>
  </si>
  <si>
    <t>Enviromental risk</t>
  </si>
  <si>
    <t>negative is the cash</t>
  </si>
  <si>
    <t>FFO ($) Size</t>
  </si>
  <si>
    <t>Group Structure</t>
  </si>
  <si>
    <t>flow torhough cycle</t>
  </si>
  <si>
    <t>FX Exposure</t>
  </si>
  <si>
    <t>Fin. Transparency</t>
  </si>
  <si>
    <t>Business 
Services</t>
  </si>
  <si>
    <t>(*) Indicadores Opcionales</t>
  </si>
  <si>
    <t>Revenues</t>
  </si>
  <si>
    <r>
      <t>FFO</t>
    </r>
    <r>
      <rPr>
        <sz val="8"/>
        <color theme="1"/>
        <rFont val="Calibri"/>
        <family val="2"/>
        <scheme val="minor"/>
      </rPr>
      <t>(1)</t>
    </r>
  </si>
  <si>
    <t>EBIT</t>
  </si>
  <si>
    <t>FCF</t>
  </si>
  <si>
    <t>Net Debt</t>
  </si>
  <si>
    <r>
      <t xml:space="preserve">CFO </t>
    </r>
    <r>
      <rPr>
        <sz val="8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 xml:space="preserve"> - Capex</t>
    </r>
    <r>
      <rPr>
        <sz val="8"/>
        <color theme="1"/>
        <rFont val="Calibri"/>
        <family val="2"/>
        <scheme val="minor"/>
      </rPr>
      <t xml:space="preserve"> </t>
    </r>
  </si>
  <si>
    <t>Technology</t>
  </si>
  <si>
    <t>Lidership</t>
  </si>
  <si>
    <t>Technology Content</t>
  </si>
  <si>
    <t>Barriers to Entry</t>
  </si>
  <si>
    <t>Innovatio</t>
  </si>
  <si>
    <t>&amp; Size</t>
  </si>
  <si>
    <t>Market Position</t>
  </si>
  <si>
    <t>Growth</t>
  </si>
  <si>
    <t>Customers &amp; Suppliers</t>
  </si>
  <si>
    <t>Product Range</t>
  </si>
  <si>
    <t>Geographic Diversif.</t>
  </si>
  <si>
    <t>Mix of end-markets</t>
  </si>
  <si>
    <t>Business Stability</t>
  </si>
  <si>
    <t>Cyclicality</t>
  </si>
  <si>
    <t>Operating Leverage</t>
  </si>
  <si>
    <t>Services &amp; After Market Rev.</t>
  </si>
  <si>
    <t>&amp; Scale</t>
  </si>
  <si>
    <t>Market Share</t>
  </si>
  <si>
    <t>Scale: EBITAR Size</t>
  </si>
  <si>
    <t>Customization of Services</t>
  </si>
  <si>
    <t>Multi-Service/Bundled Contracts</t>
  </si>
  <si>
    <t>Range of Services</t>
  </si>
  <si>
    <t>End-Markets</t>
  </si>
  <si>
    <t>Customer Base</t>
  </si>
  <si>
    <t xml:space="preserve">Geographic Diversif. </t>
  </si>
  <si>
    <t>Contracted Income &amp;</t>
  </si>
  <si>
    <t>Renewal Risk</t>
  </si>
  <si>
    <t>Proportion of</t>
  </si>
  <si>
    <t>contracted Earnings</t>
  </si>
  <si>
    <t>Length of contracts</t>
  </si>
  <si>
    <t>Maturity Profile of Contracts</t>
  </si>
  <si>
    <t>Customer Churn &amp; Switching Costs</t>
  </si>
  <si>
    <t>In-sourcing Risk</t>
  </si>
  <si>
    <t>Contract Execution</t>
  </si>
  <si>
    <t>&amp; Expertise</t>
  </si>
  <si>
    <t>Brand, Reputation &amp; Quality</t>
  </si>
  <si>
    <t>Pricing Mechanisms and Cost-Sharing</t>
  </si>
  <si>
    <t>Staff Retention &amp; Subcontrating</t>
  </si>
  <si>
    <t xml:space="preserve">Volatility of Profitability </t>
  </si>
  <si>
    <t>and Cash Flows</t>
  </si>
  <si>
    <t>Pharma</t>
  </si>
  <si>
    <t>Size &amp; Market Position</t>
  </si>
  <si>
    <t>Revenue</t>
  </si>
  <si>
    <t>Reimbursement Environment</t>
  </si>
  <si>
    <t xml:space="preserve">% Sales and Profitability </t>
  </si>
  <si>
    <t>at Risk (Innovative)</t>
  </si>
  <si>
    <t xml:space="preserve">Sales Opportunity </t>
  </si>
  <si>
    <t>(Generic) From Expiry</t>
  </si>
  <si>
    <t>Patent Protection Profile</t>
  </si>
  <si>
    <t>R&amp;D Product Pipeline</t>
  </si>
  <si>
    <t>Pipeline Profile</t>
  </si>
  <si>
    <t>R&amp;D Productivity (Innovative)</t>
  </si>
  <si>
    <t>R&amp;D Productivity (Generic)</t>
  </si>
  <si>
    <t>Top Product Concentration</t>
  </si>
  <si>
    <t>Margen EBITDA</t>
  </si>
  <si>
    <t>Deuda Neta / EBITDA</t>
  </si>
  <si>
    <t>Deuda de Corto Plazo / Deuda Total</t>
  </si>
  <si>
    <t>Deuda Bruta / Activo</t>
  </si>
  <si>
    <t>EBITDA / Intereses</t>
  </si>
  <si>
    <t>Activo Corto Plazo / Pasivo Corto Plazo</t>
  </si>
  <si>
    <t>Total Activo / Total Patrimonio</t>
  </si>
  <si>
    <t>Margen EBITDA del Trimestre</t>
  </si>
  <si>
    <t>Deuda Neta / EBITDA del Trimestre Anualizado</t>
  </si>
  <si>
    <t>EBITDA del Trimestre Anualizado / Intereses</t>
  </si>
  <si>
    <t>Margen Neto del Trimestre</t>
  </si>
  <si>
    <t>Ingresos del Trimestre Anualizados / Total Activo</t>
  </si>
  <si>
    <t>EBITDA del Trimestre Anualizado / Deuda Corto Plazo</t>
  </si>
  <si>
    <t>Utilidad Neta del Trimestre Anualizada / Total Patrimonio</t>
  </si>
  <si>
    <t>}</t>
  </si>
  <si>
    <t>Rating Soberano País de Origen Deuda LP Moneda Extranjera</t>
  </si>
  <si>
    <t>Utilidad Operacional del Trimestre / Activo Total</t>
  </si>
  <si>
    <t>Cash Taxes?</t>
  </si>
  <si>
    <t>Canacol</t>
  </si>
  <si>
    <t>(Oil &amp; Gas)</t>
  </si>
  <si>
    <t>(Paper &amp; Forrest)</t>
  </si>
  <si>
    <t>Bio-Pappel</t>
  </si>
  <si>
    <t>Doddley</t>
  </si>
  <si>
    <t>(Medical Products)</t>
  </si>
  <si>
    <t>Intertug</t>
  </si>
  <si>
    <t>(Common Ratios)</t>
  </si>
  <si>
    <t>Unifin</t>
  </si>
  <si>
    <t>(%)</t>
  </si>
  <si>
    <t>(x)</t>
  </si>
  <si>
    <t>Deuda Total / (Deuda Total + Patrimonio)</t>
  </si>
  <si>
    <t xml:space="preserve">Deuda Ttal / Reservas Probadas </t>
  </si>
  <si>
    <r>
      <t xml:space="preserve">FCF / Deuda Total </t>
    </r>
    <r>
      <rPr>
        <i/>
        <sz val="11"/>
        <color theme="1"/>
        <rFont val="Calibri"/>
        <family val="2"/>
        <scheme val="minor"/>
      </rPr>
      <t>Promedio 3 YR</t>
    </r>
  </si>
  <si>
    <r>
      <t xml:space="preserve">EBIT / Intereses - </t>
    </r>
    <r>
      <rPr>
        <i/>
        <sz val="11"/>
        <color theme="1"/>
        <rFont val="Calibri"/>
        <family val="2"/>
        <scheme val="minor"/>
      </rPr>
      <t>Promedio 5 YR</t>
    </r>
  </si>
  <si>
    <t>Leveraged full-cycle ratio</t>
  </si>
  <si>
    <t>(Financial Institutions)</t>
  </si>
  <si>
    <t>Metodología  Centro de Excelencia</t>
  </si>
  <si>
    <t>FCF / Deuda Total</t>
  </si>
  <si>
    <t>Deuda Total / EBITDA</t>
  </si>
  <si>
    <t>(EBITDA - CAPEX) / Intereses</t>
  </si>
  <si>
    <r>
      <t xml:space="preserve">Cambio margen EBITDA  </t>
    </r>
    <r>
      <rPr>
        <i/>
        <sz val="11"/>
        <color theme="1"/>
        <rFont val="Calibri"/>
        <family val="2"/>
        <scheme val="minor"/>
      </rPr>
      <t>&lt;&lt; Promedio 3 YR&gt;&gt;</t>
    </r>
  </si>
  <si>
    <r>
      <t xml:space="preserve">EBITDA / Activos </t>
    </r>
    <r>
      <rPr>
        <i/>
        <sz val="11"/>
        <color theme="1"/>
        <rFont val="Calibri"/>
        <family val="2"/>
        <scheme val="minor"/>
      </rPr>
      <t>&lt;&lt; Promedio 2 YR&gt;&gt;</t>
    </r>
  </si>
  <si>
    <t>(Activo Corriente - CAPEX) / Deuda Total</t>
  </si>
  <si>
    <t>Utilidad Antes de Impuestos / Activo Total</t>
  </si>
  <si>
    <t>(*) CFO : EBITDA - Impuestos - Δ Capital de Trabajo Neto</t>
  </si>
  <si>
    <t>CFO (*) / Deuda Total</t>
  </si>
  <si>
    <t>Dependencia en compras, recompras y dividendos</t>
  </si>
  <si>
    <t>Activo Corriente / Pasivo Corriente</t>
  </si>
  <si>
    <t>CFO (*) / Pasivo Corriente</t>
  </si>
  <si>
    <t>Utilidad Neta / Patrimonio</t>
  </si>
  <si>
    <t>(Efectivo + Inversiones CP) / Activo Corriente</t>
  </si>
  <si>
    <t>Deuda Neta / FCF</t>
  </si>
  <si>
    <t>Pasivo / Patrimonio</t>
  </si>
  <si>
    <t>Pasivo / Activo</t>
  </si>
  <si>
    <t>(Market funds - Liquid Assets) / Total Assets</t>
  </si>
  <si>
    <t>Cost / income ratio</t>
  </si>
  <si>
    <t>Problem loans / gross loans</t>
  </si>
  <si>
    <t>Problem loans / gross equity</t>
  </si>
  <si>
    <t>Net income / Avg RWA</t>
  </si>
  <si>
    <t>Tangible Common Equity / RWA</t>
  </si>
  <si>
    <t>Tier 1 Ratio</t>
  </si>
  <si>
    <t>Indicador bajo revisión</t>
  </si>
  <si>
    <t>Histórico o Proyectado</t>
  </si>
  <si>
    <t>Fitch Rating Navigator - Oil &amp; Gas (Canacol)</t>
  </si>
  <si>
    <t>Fitch Rating Navigator - Industrials (Bio-Pappel)</t>
  </si>
  <si>
    <t>Fitch Rating Navigator - Services (Intertug)</t>
  </si>
  <si>
    <t>Fitch Rating Navigator - Pharma (Doddley)</t>
  </si>
  <si>
    <t>Otros</t>
  </si>
  <si>
    <t>Rentabilidad</t>
  </si>
  <si>
    <t>Leverage</t>
  </si>
  <si>
    <r>
      <t xml:space="preserve">Utilidad Operacional del Trimestre / Activo Total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</si>
  <si>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Margen EBITDA del Trimestre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</si>
  <si>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Margen Neto del Trimestre </t>
    </r>
    <r>
      <rPr>
        <i/>
        <sz val="11"/>
        <color theme="1"/>
        <rFont val="Calibri"/>
        <family val="2"/>
        <scheme val="minor"/>
      </rPr>
      <t>(Promedio LTM)</t>
    </r>
  </si>
  <si>
    <t>Crecimiento del EBITDA Últimos 12 Meses EBITDA</t>
  </si>
  <si>
    <t>Cobertura</t>
  </si>
  <si>
    <r>
      <t xml:space="preserve">Utilidad Neta del Trimestre Anualizada / Total Patrimonio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</si>
  <si>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Total Activo / Total Patrimonio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</si>
  <si>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Deuda Neta / EBITDA del Trimestre Anualizado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</si>
  <si>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Deuda de Corto Plazo / Deuda Total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</si>
  <si>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Deuda Bruta / Activo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</si>
  <si>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EBITDA del Trimestre Anualizado / Intereses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</si>
  <si>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EBITDA del Trimestre Anualizado / Deuda Corto Plazo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</si>
  <si>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Crecimiento del EBITDA Últimos 12 Meses EBITDA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</si>
  <si>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Ingresos del Trimestre Anualizados / Total Activo </t>
    </r>
    <r>
      <rPr>
        <i/>
        <sz val="11"/>
        <color theme="1"/>
        <rFont val="Calibri"/>
        <family val="2"/>
        <scheme val="minor"/>
      </rPr>
      <t>(Promedio LTM)</t>
    </r>
  </si>
  <si>
    <r>
      <t xml:space="preserve">Activo Corto Plazo / Pasivo Corto Plazo </t>
    </r>
    <r>
      <rPr>
        <i/>
        <sz val="11"/>
        <color theme="1"/>
        <rFont val="Calibri"/>
        <family val="2"/>
        <scheme val="minor"/>
      </rPr>
      <t>(Promedio LTM)</t>
    </r>
  </si>
  <si>
    <t>Indicadores</t>
  </si>
  <si>
    <t>Metodología Random Forest</t>
  </si>
  <si>
    <t>No. Periodos</t>
  </si>
  <si>
    <t>BB+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</si>
</sst>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#,###.0&quot;x&quot;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hair">
        <color auto="1"/>
      </left>
      <right/>
      <top style="dotted">
        <color auto="1"/>
      </top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47">
    <xf numFmtId="0" fontId="0" fillId="0" borderId="0" xfId="0"/>
    <xf numFmtId="0" fontId="2" fillId="0" borderId="1" xfId="0" applyFont="1" applyFill="1" applyBorder="1"/>
    <xf numFmtId="0" fontId="2" fillId="2" borderId="2" xfId="0" applyFont="1" applyFill="1" applyBorder="1"/>
    <xf numFmtId="0" fontId="2" fillId="3" borderId="2" xfId="0" applyFont="1" applyFill="1" applyBorder="1"/>
    <xf numFmtId="0" fontId="2" fillId="4" borderId="2" xfId="0" applyFont="1" applyFill="1" applyBorder="1"/>
    <xf numFmtId="0" fontId="0" fillId="4" borderId="2" xfId="0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4" borderId="0" xfId="0" applyFont="1" applyFill="1"/>
    <xf numFmtId="0" fontId="3" fillId="0" borderId="0" xfId="0" applyFont="1"/>
    <xf numFmtId="0" fontId="3" fillId="2" borderId="8" xfId="0" applyFont="1" applyFill="1" applyBorder="1"/>
    <xf numFmtId="0" fontId="3" fillId="2" borderId="9" xfId="0" applyFont="1" applyFill="1" applyBorder="1"/>
    <xf numFmtId="0" fontId="3" fillId="2" borderId="10" xfId="0" applyFont="1" applyFill="1" applyBorder="1"/>
    <xf numFmtId="0" fontId="3" fillId="3" borderId="10" xfId="0" applyFont="1" applyFill="1" applyBorder="1"/>
    <xf numFmtId="0" fontId="3" fillId="3" borderId="11" xfId="0" applyFont="1" applyFill="1" applyBorder="1"/>
    <xf numFmtId="0" fontId="0" fillId="4" borderId="0" xfId="0" applyFill="1"/>
    <xf numFmtId="0" fontId="0" fillId="2" borderId="0" xfId="0" applyFill="1"/>
    <xf numFmtId="0" fontId="4" fillId="2" borderId="12" xfId="0" applyFont="1" applyFill="1" applyBorder="1"/>
    <xf numFmtId="0" fontId="0" fillId="2" borderId="12" xfId="0" applyFill="1" applyBorder="1"/>
    <xf numFmtId="0" fontId="0" fillId="3" borderId="0" xfId="0" applyFill="1" applyBorder="1"/>
    <xf numFmtId="0" fontId="0" fillId="3" borderId="3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10" xfId="0" applyFill="1" applyBorder="1"/>
    <xf numFmtId="0" fontId="0" fillId="2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0" borderId="0" xfId="0" applyBorder="1"/>
    <xf numFmtId="0" fontId="6" fillId="0" borderId="0" xfId="0" applyFont="1"/>
    <xf numFmtId="0" fontId="7" fillId="0" borderId="0" xfId="0" applyFont="1"/>
    <xf numFmtId="0" fontId="6" fillId="0" borderId="0" xfId="0" applyFont="1" applyBorder="1"/>
    <xf numFmtId="0" fontId="0" fillId="2" borderId="0" xfId="0" applyFill="1" applyBorder="1"/>
    <xf numFmtId="0" fontId="1" fillId="2" borderId="12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14" xfId="0" applyFill="1" applyBorder="1"/>
    <xf numFmtId="0" fontId="1" fillId="2" borderId="3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5" borderId="0" xfId="0" applyFill="1"/>
    <xf numFmtId="0" fontId="0" fillId="5" borderId="10" xfId="0" applyFill="1" applyBorder="1"/>
    <xf numFmtId="0" fontId="0" fillId="0" borderId="10" xfId="0" applyBorder="1"/>
    <xf numFmtId="0" fontId="2" fillId="0" borderId="10" xfId="0" applyFont="1" applyBorder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Fill="1" applyBorder="1"/>
    <xf numFmtId="0" fontId="0" fillId="6" borderId="0" xfId="0" applyFill="1"/>
    <xf numFmtId="0" fontId="0" fillId="0" borderId="0" xfId="0" applyBorder="1" applyAlignment="1">
      <alignment horizontal="center"/>
    </xf>
    <xf numFmtId="0" fontId="0" fillId="0" borderId="2" xfId="0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right"/>
    </xf>
    <xf numFmtId="164" fontId="0" fillId="7" borderId="0" xfId="1" applyNumberFormat="1" applyFont="1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164" fontId="0" fillId="7" borderId="0" xfId="1" applyNumberFormat="1" applyFont="1" applyFill="1" applyBorder="1" applyAlignment="1">
      <alignment horizontal="center"/>
    </xf>
    <xf numFmtId="164" fontId="0" fillId="7" borderId="0" xfId="0" applyNumberForma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4" xfId="0" applyFill="1" applyBorder="1" applyAlignment="1">
      <alignment horizontal="center"/>
    </xf>
    <xf numFmtId="164" fontId="0" fillId="7" borderId="14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10" xfId="0" applyFill="1" applyBorder="1"/>
    <xf numFmtId="0" fontId="0" fillId="7" borderId="10" xfId="0" applyFill="1" applyBorder="1" applyAlignment="1">
      <alignment horizontal="center"/>
    </xf>
    <xf numFmtId="164" fontId="0" fillId="0" borderId="10" xfId="0" applyNumberFormat="1" applyFill="1" applyBorder="1" applyAlignment="1">
      <alignment horizontal="center"/>
    </xf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7" fillId="0" borderId="0" xfId="0" applyFont="1" applyBorder="1" applyAlignment="1">
      <alignment horizontal="right" vertical="center"/>
    </xf>
    <xf numFmtId="0" fontId="0" fillId="8" borderId="0" xfId="0" applyFill="1"/>
    <xf numFmtId="0" fontId="0" fillId="0" borderId="18" xfId="0" applyBorder="1"/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18" xfId="0" applyFon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4" xfId="1" applyNumberFormat="1" applyFon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7" borderId="14" xfId="0" applyNumberForma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9" borderId="17" xfId="0" applyFill="1" applyBorder="1"/>
    <xf numFmtId="0" fontId="6" fillId="0" borderId="0" xfId="0" applyFont="1" applyAlignment="1">
      <alignment horizontal="left" indent="1"/>
    </xf>
    <xf numFmtId="0" fontId="0" fillId="7" borderId="17" xfId="0" applyFill="1" applyBorder="1"/>
    <xf numFmtId="164" fontId="0" fillId="0" borderId="0" xfId="0" applyNumberFormat="1"/>
    <xf numFmtId="0" fontId="0" fillId="0" borderId="20" xfId="0" applyBorder="1"/>
    <xf numFmtId="0" fontId="0" fillId="0" borderId="20" xfId="0" applyFill="1" applyBorder="1"/>
    <xf numFmtId="0" fontId="0" fillId="0" borderId="18" xfId="0" applyFill="1" applyBorder="1"/>
    <xf numFmtId="0" fontId="9" fillId="0" borderId="0" xfId="0" applyFont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14" xfId="0" applyNumberFormat="1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9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0" fontId="0" fillId="0" borderId="20" xfId="0" applyFill="1" applyBorder="1" applyAlignment="1">
      <alignment wrapText="1"/>
    </xf>
    <xf numFmtId="0" fontId="0" fillId="0" borderId="0" xfId="0" applyFill="1" applyBorder="1" applyAlignment="1">
      <alignment wrapText="1"/>
    </xf>
    <xf numFmtId="164" fontId="0" fillId="7" borderId="20" xfId="1" applyNumberFormat="1" applyFont="1" applyFill="1" applyBorder="1" applyAlignment="1">
      <alignment horizontal="center"/>
    </xf>
    <xf numFmtId="164" fontId="0" fillId="7" borderId="20" xfId="0" applyNumberFormat="1" applyFill="1" applyBorder="1" applyAlignment="1">
      <alignment horizontal="center"/>
    </xf>
    <xf numFmtId="164" fontId="0" fillId="7" borderId="21" xfId="0" applyNumberFormat="1" applyFill="1" applyBorder="1" applyAlignment="1">
      <alignment horizontal="center"/>
    </xf>
    <xf numFmtId="164" fontId="0" fillId="0" borderId="18" xfId="1" applyNumberFormat="1" applyFont="1" applyFill="1" applyBorder="1" applyAlignment="1">
      <alignment horizontal="center"/>
    </xf>
    <xf numFmtId="165" fontId="0" fillId="7" borderId="20" xfId="1" applyNumberFormat="1" applyFont="1" applyFill="1" applyBorder="1" applyAlignment="1">
      <alignment horizontal="center"/>
    </xf>
    <xf numFmtId="165" fontId="0" fillId="7" borderId="20" xfId="0" applyNumberFormat="1" applyFill="1" applyBorder="1" applyAlignment="1">
      <alignment horizontal="center"/>
    </xf>
    <xf numFmtId="165" fontId="0" fillId="7" borderId="21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0" xfId="1" applyNumberFormat="1" applyFont="1" applyFill="1" applyBorder="1" applyAlignment="1">
      <alignment horizontal="center"/>
    </xf>
    <xf numFmtId="165" fontId="0" fillId="0" borderId="14" xfId="0" applyNumberFormat="1" applyFill="1" applyBorder="1" applyAlignment="1">
      <alignment horizontal="center"/>
    </xf>
    <xf numFmtId="165" fontId="0" fillId="7" borderId="0" xfId="1" applyNumberFormat="1" applyFont="1" applyFill="1" applyBorder="1" applyAlignment="1">
      <alignment horizontal="center"/>
    </xf>
    <xf numFmtId="165" fontId="0" fillId="7" borderId="0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/>
    </xf>
    <xf numFmtId="165" fontId="0" fillId="0" borderId="18" xfId="0" applyNumberForma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9" xfId="0" applyNumberForma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 textRotation="90"/>
    </xf>
    <xf numFmtId="0" fontId="0" fillId="0" borderId="0" xfId="0" applyFont="1" applyFill="1" applyBorder="1" applyAlignment="1">
      <alignment horizontal="center" vertical="center" textRotation="90"/>
    </xf>
    <xf numFmtId="0" fontId="0" fillId="0" borderId="10" xfId="0" applyFont="1" applyFill="1" applyBorder="1" applyAlignment="1">
      <alignment horizontal="center" vertical="center" textRotation="90"/>
    </xf>
    <xf numFmtId="0" fontId="0" fillId="0" borderId="2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0" borderId="18" xfId="0" applyFont="1" applyBorder="1" applyAlignment="1">
      <alignment horizontal="center" vertical="center" textRotation="90"/>
    </xf>
    <xf numFmtId="0" fontId="0" fillId="0" borderId="16" xfId="0" applyFont="1" applyBorder="1" applyAlignment="1">
      <alignment horizontal="center" vertical="center" textRotation="90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76200</xdr:rowOff>
        </xdr:from>
        <xdr:to>
          <xdr:col>2</xdr:col>
          <xdr:colOff>3267075</xdr:colOff>
          <xdr:row>1</xdr:row>
          <xdr:rowOff>142875</xdr:rowOff>
        </xdr:to>
        <xdr:sp macro="" textlink="">
          <xdr:nvSpPr>
            <xdr:cNvPr id="5129" name="pred_data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eld_key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eld_key"/>
    </sheetNames>
    <sheetDataSet>
      <sheetData sheetId="0">
        <row r="1">
          <cell r="A1" t="str">
            <v>Utilidad Operacional del Trimestre / Activo Total</v>
          </cell>
          <cell r="B1" t="str">
            <v>Ratio1</v>
          </cell>
        </row>
        <row r="2">
          <cell r="A2" t="str">
            <v>Utilidad Operacional del Trimestre / Activo Total (Promedio LTM)</v>
          </cell>
          <cell r="B2" t="str">
            <v>Ratio14</v>
          </cell>
        </row>
        <row r="3">
          <cell r="A3" t="str">
            <v>Margen EBITDA del Trimestre</v>
          </cell>
          <cell r="B3" t="str">
            <v>Ratio2</v>
          </cell>
        </row>
        <row r="4">
          <cell r="A4" t="str">
            <v>Margen EBITDA del Trimestre (Promedio LTM)</v>
          </cell>
          <cell r="B4" t="str">
            <v>Ratio15</v>
          </cell>
        </row>
        <row r="5">
          <cell r="A5" t="str">
            <v>Margen Neto del Trimestre</v>
          </cell>
          <cell r="B5" t="str">
            <v>Ratio10</v>
          </cell>
        </row>
        <row r="6">
          <cell r="A6" t="str">
            <v>Margen Neto del Trimestre (Promedio LTM)</v>
          </cell>
          <cell r="B6" t="str">
            <v>Ratio23</v>
          </cell>
        </row>
        <row r="7">
          <cell r="A7" t="str">
            <v>Utilidad Neta del Trimestre Anualizada / Total Patrimonio</v>
          </cell>
          <cell r="B7" t="str">
            <v>Ratio13</v>
          </cell>
        </row>
        <row r="8">
          <cell r="A8" t="str">
            <v>Utilidad Neta del Trimestre Anualizada / Total Patrimonio (Promedio LTM)</v>
          </cell>
          <cell r="B8" t="str">
            <v>Ratio26</v>
          </cell>
        </row>
        <row r="9">
          <cell r="A9" t="str">
            <v>Total Activo / Total Patrimonio</v>
          </cell>
          <cell r="B9" t="str">
            <v>Ratio12</v>
          </cell>
        </row>
        <row r="10">
          <cell r="A10" t="str">
            <v>Total Activo / Total Patrimonio (Promedio LTM)</v>
          </cell>
          <cell r="B10" t="str">
            <v>Ratio25</v>
          </cell>
        </row>
        <row r="11">
          <cell r="A11" t="str">
            <v>Deuda Neta / EBITDA del Trimestre Anualizado</v>
          </cell>
          <cell r="B11" t="str">
            <v>Ratio3</v>
          </cell>
        </row>
        <row r="12">
          <cell r="A12" t="str">
            <v>Deuda Neta / EBITDA del Trimestre Anualizado (Promedio LTM)</v>
          </cell>
          <cell r="B12" t="str">
            <v>Ratio16</v>
          </cell>
        </row>
        <row r="13">
          <cell r="A13" t="str">
            <v>Deuda de Corto Plazo / Deuda Total</v>
          </cell>
          <cell r="B13" t="str">
            <v>Ratio4</v>
          </cell>
        </row>
        <row r="14">
          <cell r="A14" t="str">
            <v>Deuda de Corto Plazo / Deuda Total (Promedio LTM)</v>
          </cell>
          <cell r="B14" t="str">
            <v>Ratio17</v>
          </cell>
        </row>
        <row r="15">
          <cell r="A15" t="str">
            <v>Deuda Bruta / Activo</v>
          </cell>
          <cell r="B15" t="str">
            <v>Ratio5</v>
          </cell>
        </row>
        <row r="16">
          <cell r="A16" t="str">
            <v>Deuda Bruta / Activo (Promedio LTM)</v>
          </cell>
          <cell r="B16" t="str">
            <v>Ratio18</v>
          </cell>
        </row>
        <row r="17">
          <cell r="A17" t="str">
            <v>EBITDA del Trimestre Anualizado / Intereses</v>
          </cell>
          <cell r="B17" t="str">
            <v>Ratio6</v>
          </cell>
        </row>
        <row r="18">
          <cell r="A18" t="str">
            <v>EBITDA del Trimestre Anualizado / Intereses (Promedio LTM)</v>
          </cell>
          <cell r="B18" t="str">
            <v>Ratio19</v>
          </cell>
        </row>
        <row r="19">
          <cell r="A19" t="str">
            <v>EBITDA del Trimestre Anualizado / Deuda Corto Plazo</v>
          </cell>
          <cell r="B19" t="str">
            <v>Ratio7</v>
          </cell>
        </row>
        <row r="20">
          <cell r="A20" t="str">
            <v>EBITDA del Trimestre Anualizado / Deuda Corto Plazo (Promedio LTM)</v>
          </cell>
          <cell r="B20" t="str">
            <v>Ratio20</v>
          </cell>
        </row>
        <row r="21">
          <cell r="A21" t="str">
            <v>Crecimiento del EBITDA últimos 12 Meses EBITDA</v>
          </cell>
          <cell r="B21" t="str">
            <v>Ratio9</v>
          </cell>
        </row>
        <row r="22">
          <cell r="A22" t="str">
            <v>Crecimiento del EBITDA últimos 12 Meses EBITDA (Promedio LTM)</v>
          </cell>
          <cell r="B22" t="str">
            <v>Ratio22</v>
          </cell>
        </row>
        <row r="23">
          <cell r="A23" t="str">
            <v>Ingresos del Trimestre Anualizados / Total Activo</v>
          </cell>
          <cell r="B23" t="str">
            <v>Ratio11</v>
          </cell>
        </row>
        <row r="24">
          <cell r="A24" t="str">
            <v>Ingresos del Trimestre Anualizados / Total Activo (Promedio LTM)</v>
          </cell>
          <cell r="B24" t="str">
            <v>Ratio24</v>
          </cell>
        </row>
        <row r="25">
          <cell r="A25" t="str">
            <v>Activo Corto Plazo / Pasivo Corto Plazo</v>
          </cell>
          <cell r="B25" t="str">
            <v>Ratio8</v>
          </cell>
        </row>
        <row r="26">
          <cell r="A26" t="str">
            <v>Activo Corto Plazo / Pasivo Corto Plazo (Promedio LTM)</v>
          </cell>
          <cell r="B26" t="str">
            <v>Ratio21</v>
          </cell>
        </row>
        <row r="27">
          <cell r="A27" t="str">
            <v>Rating Soberano País de Origen Deuda LP Moneda Extranjera</v>
          </cell>
          <cell r="B27" t="str">
            <v>SoveringRating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/>
  </sheetPr>
  <dimension ref="B2:AC28"/>
  <sheetViews>
    <sheetView showGridLines="0" zoomScale="115" zoomScaleNormal="115" workbookViewId="0">
      <selection activeCell="A7" sqref="A7"/>
    </sheetView>
  </sheetViews>
  <sheetFormatPr baseColWidth="10" defaultRowHeight="15" x14ac:dyDescent="0.25"/>
  <cols>
    <col min="1" max="1" width="4.7109375" customWidth="1"/>
    <col min="2" max="2" width="2.7109375" customWidth="1"/>
    <col min="3" max="3" width="14.7109375" customWidth="1"/>
    <col min="5" max="5" width="19" customWidth="1"/>
    <col min="6" max="6" width="23.140625" customWidth="1"/>
    <col min="7" max="7" width="1" customWidth="1"/>
    <col min="8" max="8" width="18.140625" customWidth="1"/>
    <col min="9" max="9" width="1" customWidth="1"/>
    <col min="10" max="10" width="20.140625" customWidth="1"/>
    <col min="11" max="11" width="24.5703125" customWidth="1"/>
    <col min="12" max="12" width="1.7109375" style="37" customWidth="1"/>
    <col min="13" max="13" width="15.28515625" customWidth="1"/>
    <col min="14" max="15" width="1.7109375" style="37" customWidth="1"/>
    <col min="16" max="16" width="44.7109375" customWidth="1"/>
    <col min="17" max="18" width="1.7109375" style="37" customWidth="1"/>
    <col min="19" max="19" width="44.7109375" customWidth="1"/>
    <col min="20" max="20" width="1.7109375" style="37" customWidth="1"/>
    <col min="21" max="21" width="1" customWidth="1"/>
  </cols>
  <sheetData>
    <row r="2" spans="2:29" x14ac:dyDescent="0.25">
      <c r="B2" s="48"/>
      <c r="C2" s="50" t="s">
        <v>176</v>
      </c>
      <c r="D2" s="49"/>
      <c r="E2" s="49"/>
      <c r="F2" s="49"/>
      <c r="G2" s="49"/>
      <c r="H2" s="49"/>
    </row>
    <row r="7" spans="2:29" x14ac:dyDescent="0.25">
      <c r="C7" s="1" t="s">
        <v>0</v>
      </c>
      <c r="D7" s="1" t="s">
        <v>1</v>
      </c>
      <c r="E7" s="2" t="s">
        <v>2</v>
      </c>
      <c r="F7" s="2"/>
      <c r="G7" s="2"/>
      <c r="H7" s="2"/>
      <c r="I7" s="2"/>
      <c r="J7" s="2"/>
      <c r="K7" s="2"/>
      <c r="L7" s="3"/>
      <c r="M7" s="3" t="s">
        <v>3</v>
      </c>
      <c r="N7" s="3"/>
      <c r="O7" s="3"/>
      <c r="P7" s="3"/>
      <c r="Q7" s="3"/>
      <c r="R7" s="3"/>
      <c r="S7" s="3"/>
      <c r="T7" s="3"/>
      <c r="U7" s="4"/>
      <c r="V7" s="4" t="s">
        <v>4</v>
      </c>
      <c r="W7" s="5"/>
      <c r="X7" s="5"/>
      <c r="Y7" s="5"/>
      <c r="Z7" s="5"/>
      <c r="AA7" s="5"/>
      <c r="AB7" s="5"/>
      <c r="AC7" s="5"/>
    </row>
    <row r="8" spans="2:29" s="12" customFormat="1" ht="12" x14ac:dyDescent="0.2">
      <c r="C8" s="131" t="s">
        <v>5</v>
      </c>
      <c r="D8" s="131" t="s">
        <v>6</v>
      </c>
      <c r="E8" s="6" t="s">
        <v>7</v>
      </c>
      <c r="F8" s="7" t="s">
        <v>8</v>
      </c>
      <c r="G8" s="8"/>
      <c r="H8" s="8" t="s">
        <v>9</v>
      </c>
      <c r="I8" s="8"/>
      <c r="J8" s="7" t="s">
        <v>10</v>
      </c>
      <c r="K8" s="8" t="s">
        <v>11</v>
      </c>
      <c r="L8" s="9"/>
      <c r="M8" s="9" t="s">
        <v>12</v>
      </c>
      <c r="N8" s="10"/>
      <c r="O8" s="9"/>
      <c r="P8" s="9" t="s">
        <v>13</v>
      </c>
      <c r="Q8" s="10"/>
      <c r="R8" s="9"/>
      <c r="S8" s="9" t="s">
        <v>14</v>
      </c>
      <c r="T8" s="9"/>
      <c r="U8" s="11"/>
      <c r="V8" s="11"/>
      <c r="W8" s="11"/>
      <c r="X8" s="11"/>
      <c r="Y8" s="11"/>
      <c r="Z8" s="11"/>
      <c r="AA8" s="11"/>
      <c r="AB8" s="11"/>
      <c r="AC8" s="11"/>
    </row>
    <row r="9" spans="2:29" s="12" customFormat="1" x14ac:dyDescent="0.25">
      <c r="C9" s="131"/>
      <c r="D9" s="131"/>
      <c r="E9" s="13"/>
      <c r="F9" s="14" t="s">
        <v>15</v>
      </c>
      <c r="G9" s="15"/>
      <c r="H9" s="15" t="s">
        <v>16</v>
      </c>
      <c r="I9" s="15"/>
      <c r="J9" s="14"/>
      <c r="K9" s="15"/>
      <c r="L9" s="16"/>
      <c r="M9" s="16"/>
      <c r="N9" s="17"/>
      <c r="O9" s="16"/>
      <c r="P9" s="16"/>
      <c r="Q9" s="17"/>
      <c r="R9" s="16"/>
      <c r="S9" s="16"/>
      <c r="T9" s="16"/>
      <c r="U9" s="11"/>
      <c r="V9" s="18" t="s">
        <v>17</v>
      </c>
      <c r="W9" s="11"/>
      <c r="X9" s="11"/>
      <c r="Y9" s="11"/>
      <c r="Z9" s="11"/>
      <c r="AA9" s="11"/>
      <c r="AB9" s="11"/>
      <c r="AC9" s="11"/>
    </row>
    <row r="10" spans="2:29" x14ac:dyDescent="0.25">
      <c r="C10" s="131"/>
      <c r="D10" s="131"/>
      <c r="E10" s="19"/>
      <c r="F10" s="20"/>
      <c r="G10" s="43"/>
      <c r="H10" s="19"/>
      <c r="I10" s="19"/>
      <c r="J10" s="21"/>
      <c r="K10" s="19"/>
      <c r="L10" s="22"/>
      <c r="M10" s="22"/>
      <c r="N10" s="23"/>
      <c r="O10" s="22"/>
      <c r="P10" s="22"/>
      <c r="Q10" s="23"/>
      <c r="R10" s="22"/>
      <c r="S10" s="22"/>
      <c r="T10" s="22"/>
      <c r="U10" s="18"/>
      <c r="V10" s="18"/>
      <c r="W10" s="18"/>
      <c r="X10" s="18"/>
      <c r="Y10" s="18"/>
      <c r="Z10" s="18"/>
      <c r="AA10" s="18"/>
      <c r="AB10" s="18"/>
      <c r="AC10" s="18"/>
    </row>
    <row r="11" spans="2:29" x14ac:dyDescent="0.25">
      <c r="C11" s="131"/>
      <c r="D11" s="131"/>
      <c r="E11" s="19"/>
      <c r="F11" s="21"/>
      <c r="G11" s="41"/>
      <c r="H11" s="19"/>
      <c r="I11" s="19"/>
      <c r="J11" s="21"/>
      <c r="K11" s="19"/>
      <c r="L11" s="22"/>
      <c r="M11" s="24" t="s">
        <v>18</v>
      </c>
      <c r="N11" s="23"/>
      <c r="O11" s="22"/>
      <c r="P11" s="24" t="s">
        <v>19</v>
      </c>
      <c r="Q11" s="23"/>
      <c r="R11" s="22"/>
      <c r="S11" s="25" t="s">
        <v>20</v>
      </c>
      <c r="T11" s="22"/>
      <c r="U11" s="18"/>
      <c r="V11" s="18" t="s">
        <v>21</v>
      </c>
      <c r="W11" s="18"/>
      <c r="X11" s="18"/>
      <c r="Y11" s="18"/>
      <c r="Z11" s="18"/>
      <c r="AA11" s="18"/>
      <c r="AB11" s="18"/>
      <c r="AC11" s="18"/>
    </row>
    <row r="12" spans="2:29" x14ac:dyDescent="0.25">
      <c r="C12" s="131"/>
      <c r="D12" s="131"/>
      <c r="E12" s="19"/>
      <c r="F12" s="21"/>
      <c r="G12" s="41"/>
      <c r="H12" s="19"/>
      <c r="I12" s="19"/>
      <c r="J12" s="21"/>
      <c r="K12" s="19"/>
      <c r="L12" s="22"/>
      <c r="M12" s="26" t="s">
        <v>22</v>
      </c>
      <c r="N12" s="23"/>
      <c r="O12" s="22"/>
      <c r="P12" s="26" t="s">
        <v>23</v>
      </c>
      <c r="Q12" s="23"/>
      <c r="R12" s="22"/>
      <c r="S12" s="27" t="s">
        <v>24</v>
      </c>
      <c r="T12" s="22"/>
      <c r="U12" s="18"/>
      <c r="V12" s="18"/>
      <c r="W12" s="18"/>
      <c r="X12" s="18"/>
      <c r="Y12" s="18"/>
      <c r="Z12" s="18"/>
      <c r="AA12" s="18"/>
      <c r="AB12" s="18"/>
      <c r="AC12" s="18"/>
    </row>
    <row r="13" spans="2:29" x14ac:dyDescent="0.25">
      <c r="C13" s="131"/>
      <c r="D13" s="131"/>
      <c r="E13" s="19"/>
      <c r="F13" s="21"/>
      <c r="G13" s="41"/>
      <c r="H13" s="19" t="s">
        <v>25</v>
      </c>
      <c r="I13" s="19"/>
      <c r="J13" s="21"/>
      <c r="K13" s="19" t="s">
        <v>26</v>
      </c>
      <c r="L13" s="22"/>
      <c r="M13" s="22"/>
      <c r="N13" s="23"/>
      <c r="O13" s="22"/>
      <c r="P13" s="22"/>
      <c r="Q13" s="23"/>
      <c r="R13" s="22"/>
      <c r="S13" s="28"/>
      <c r="T13" s="22"/>
      <c r="U13" s="18"/>
      <c r="V13" s="18" t="s">
        <v>27</v>
      </c>
      <c r="W13" s="18"/>
      <c r="X13" s="18"/>
      <c r="Y13" s="18"/>
      <c r="Z13" s="18"/>
      <c r="AA13" s="18"/>
      <c r="AB13" s="18"/>
      <c r="AC13" s="18"/>
    </row>
    <row r="14" spans="2:29" x14ac:dyDescent="0.25">
      <c r="C14" s="131"/>
      <c r="D14" s="131"/>
      <c r="E14" s="19"/>
      <c r="F14" s="21"/>
      <c r="G14" s="41"/>
      <c r="H14" s="29" t="s">
        <v>28</v>
      </c>
      <c r="I14" s="29"/>
      <c r="J14" s="21"/>
      <c r="K14" s="19"/>
      <c r="L14" s="22"/>
      <c r="M14" s="22"/>
      <c r="N14" s="23"/>
      <c r="O14" s="22"/>
      <c r="P14" s="24" t="s">
        <v>29</v>
      </c>
      <c r="Q14" s="23"/>
      <c r="R14" s="22"/>
      <c r="S14" s="25" t="s">
        <v>23</v>
      </c>
      <c r="T14" s="22"/>
      <c r="U14" s="18"/>
      <c r="V14" s="18"/>
      <c r="W14" s="18"/>
      <c r="X14" s="18"/>
      <c r="Y14" s="18"/>
      <c r="Z14" s="18"/>
      <c r="AA14" s="18"/>
      <c r="AB14" s="18"/>
      <c r="AC14" s="18"/>
    </row>
    <row r="15" spans="2:29" x14ac:dyDescent="0.25">
      <c r="C15" s="131"/>
      <c r="D15" s="131"/>
      <c r="E15" s="19"/>
      <c r="F15" s="21"/>
      <c r="G15" s="41"/>
      <c r="H15" s="29" t="s">
        <v>30</v>
      </c>
      <c r="I15" s="29"/>
      <c r="J15" s="21"/>
      <c r="K15" s="19"/>
      <c r="L15" s="22"/>
      <c r="M15" s="22"/>
      <c r="N15" s="23"/>
      <c r="O15" s="22"/>
      <c r="P15" s="26" t="s">
        <v>23</v>
      </c>
      <c r="Q15" s="23"/>
      <c r="R15" s="22"/>
      <c r="S15" s="28" t="s">
        <v>31</v>
      </c>
      <c r="T15" s="22"/>
      <c r="U15" s="18"/>
      <c r="V15" s="18" t="s">
        <v>32</v>
      </c>
      <c r="W15" s="18"/>
      <c r="X15" s="18"/>
      <c r="Y15" s="18"/>
      <c r="Z15" s="18"/>
      <c r="AA15" s="18"/>
      <c r="AB15" s="18"/>
      <c r="AC15" s="18"/>
    </row>
    <row r="16" spans="2:29" x14ac:dyDescent="0.25">
      <c r="C16" s="131"/>
      <c r="D16" s="131"/>
      <c r="E16" s="19"/>
      <c r="F16" s="21"/>
      <c r="G16" s="41"/>
      <c r="H16" s="19"/>
      <c r="I16" s="19"/>
      <c r="J16" s="21"/>
      <c r="K16" s="19"/>
      <c r="L16" s="22"/>
      <c r="M16" s="22"/>
      <c r="N16" s="23"/>
      <c r="O16" s="22"/>
      <c r="P16" s="22"/>
      <c r="Q16" s="23"/>
      <c r="R16" s="22"/>
      <c r="S16" s="28"/>
      <c r="T16" s="22"/>
      <c r="U16" s="18"/>
      <c r="V16" s="18"/>
      <c r="W16" s="18"/>
      <c r="X16" s="18"/>
      <c r="Y16" s="18"/>
      <c r="Z16" s="18"/>
      <c r="AA16" s="18"/>
      <c r="AB16" s="18"/>
      <c r="AC16" s="18"/>
    </row>
    <row r="17" spans="3:29" x14ac:dyDescent="0.25">
      <c r="C17" s="131"/>
      <c r="D17" s="131"/>
      <c r="E17" s="19"/>
      <c r="F17" s="21"/>
      <c r="G17" s="44"/>
      <c r="H17" s="46" t="s">
        <v>33</v>
      </c>
      <c r="I17" s="45"/>
      <c r="J17" s="21"/>
      <c r="K17" s="19"/>
      <c r="L17" s="22"/>
      <c r="M17" s="22"/>
      <c r="N17" s="23"/>
      <c r="O17" s="22"/>
      <c r="P17" s="24" t="s">
        <v>19</v>
      </c>
      <c r="Q17" s="23"/>
      <c r="R17" s="22"/>
      <c r="S17" s="25" t="s">
        <v>35</v>
      </c>
      <c r="T17" s="22"/>
      <c r="U17" s="18"/>
      <c r="V17" s="18" t="s">
        <v>36</v>
      </c>
      <c r="W17" s="18"/>
      <c r="X17" s="18"/>
      <c r="Y17" s="18"/>
      <c r="Z17" s="18"/>
      <c r="AA17" s="18"/>
      <c r="AB17" s="18"/>
      <c r="AC17" s="18"/>
    </row>
    <row r="18" spans="3:29" x14ac:dyDescent="0.25">
      <c r="C18" s="131"/>
      <c r="D18" s="131"/>
      <c r="E18" s="19"/>
      <c r="F18" s="21"/>
      <c r="G18" s="41"/>
      <c r="H18" s="30" t="s">
        <v>34</v>
      </c>
      <c r="I18" s="30"/>
      <c r="J18" s="21"/>
      <c r="K18" s="19"/>
      <c r="L18" s="22"/>
      <c r="M18" s="22"/>
      <c r="N18" s="23"/>
      <c r="O18" s="22"/>
      <c r="P18" s="26" t="s">
        <v>37</v>
      </c>
      <c r="Q18" s="23"/>
      <c r="R18" s="22"/>
      <c r="S18" s="28" t="s">
        <v>38</v>
      </c>
      <c r="T18" s="22"/>
      <c r="U18" s="18"/>
      <c r="V18" s="18"/>
      <c r="W18" s="18"/>
      <c r="X18" s="18"/>
      <c r="Y18" s="18"/>
      <c r="Z18" s="18"/>
      <c r="AA18" s="18"/>
      <c r="AB18" s="18"/>
      <c r="AC18" s="18"/>
    </row>
    <row r="19" spans="3:29" x14ac:dyDescent="0.25">
      <c r="C19" s="131"/>
      <c r="D19" s="132"/>
      <c r="E19" s="31"/>
      <c r="F19" s="32"/>
      <c r="G19" s="31"/>
      <c r="H19" s="31"/>
      <c r="I19" s="31"/>
      <c r="J19" s="32"/>
      <c r="K19" s="31"/>
      <c r="L19" s="33"/>
      <c r="M19" s="33"/>
      <c r="N19" s="34"/>
      <c r="O19" s="33"/>
      <c r="P19" s="33"/>
      <c r="Q19" s="34"/>
      <c r="R19" s="33"/>
      <c r="S19" s="35"/>
      <c r="T19" s="33"/>
      <c r="U19" s="18"/>
      <c r="V19" s="18"/>
      <c r="W19" s="18"/>
      <c r="X19" s="18"/>
      <c r="Y19" s="18"/>
      <c r="Z19" s="18"/>
      <c r="AA19" s="18"/>
      <c r="AB19" s="18"/>
      <c r="AC19" s="18"/>
    </row>
    <row r="20" spans="3:29" x14ac:dyDescent="0.25">
      <c r="C20" s="131"/>
      <c r="D20" s="133" t="s">
        <v>39</v>
      </c>
      <c r="E20" s="19"/>
      <c r="F20" s="21"/>
      <c r="G20" s="41"/>
      <c r="H20" s="19"/>
      <c r="I20" s="19"/>
      <c r="J20" s="21"/>
      <c r="K20" s="19"/>
      <c r="L20" s="22"/>
      <c r="M20" s="22"/>
      <c r="N20" s="23"/>
      <c r="O20" s="22"/>
      <c r="P20" s="22"/>
      <c r="Q20" s="23"/>
      <c r="R20" s="22"/>
      <c r="S20" s="28"/>
      <c r="T20" s="22"/>
      <c r="U20" s="18"/>
      <c r="V20" s="18"/>
      <c r="W20" s="18"/>
      <c r="X20" s="18"/>
      <c r="Y20" s="18"/>
      <c r="Z20" s="18"/>
      <c r="AA20" s="18"/>
      <c r="AB20" s="18"/>
      <c r="AC20" s="18"/>
    </row>
    <row r="21" spans="3:29" x14ac:dyDescent="0.25">
      <c r="C21" s="131"/>
      <c r="D21" s="131"/>
      <c r="E21" s="19" t="s">
        <v>40</v>
      </c>
      <c r="F21" s="21" t="s">
        <v>41</v>
      </c>
      <c r="G21" s="41"/>
      <c r="H21" s="19"/>
      <c r="I21" s="19"/>
      <c r="J21" s="21" t="s">
        <v>42</v>
      </c>
      <c r="K21" s="19"/>
      <c r="L21" s="22"/>
      <c r="M21" s="36"/>
      <c r="N21" s="23"/>
      <c r="O21" s="22"/>
      <c r="P21" s="22"/>
      <c r="Q21" s="23"/>
      <c r="R21" s="22"/>
      <c r="S21" s="28" t="s">
        <v>43</v>
      </c>
      <c r="T21" s="22"/>
      <c r="U21" s="18"/>
      <c r="V21" s="18"/>
      <c r="W21" s="18"/>
      <c r="X21" s="18"/>
      <c r="Y21" s="18"/>
      <c r="Z21" s="18"/>
      <c r="AA21" s="18"/>
      <c r="AB21" s="18"/>
      <c r="AC21" s="18"/>
    </row>
    <row r="22" spans="3:29" x14ac:dyDescent="0.25">
      <c r="C22" s="131"/>
      <c r="D22" s="131"/>
      <c r="E22" s="19" t="s">
        <v>44</v>
      </c>
      <c r="F22" s="21" t="s">
        <v>45</v>
      </c>
      <c r="G22" s="41"/>
      <c r="H22" s="19"/>
      <c r="I22" s="19"/>
      <c r="J22" s="21" t="s">
        <v>46</v>
      </c>
      <c r="K22" s="19"/>
      <c r="L22" s="22"/>
      <c r="M22" s="36" t="s">
        <v>47</v>
      </c>
      <c r="N22" s="23"/>
      <c r="O22" s="22"/>
      <c r="P22" s="22"/>
      <c r="Q22" s="23"/>
      <c r="R22" s="22"/>
      <c r="S22" s="28"/>
      <c r="T22" s="22"/>
      <c r="U22" s="18"/>
      <c r="V22" s="18"/>
      <c r="W22" s="18"/>
      <c r="X22" s="18"/>
      <c r="Y22" s="18"/>
      <c r="Z22" s="18"/>
      <c r="AA22" s="18"/>
      <c r="AB22" s="18"/>
      <c r="AC22" s="18"/>
    </row>
    <row r="23" spans="3:29" x14ac:dyDescent="0.25">
      <c r="C23" s="131"/>
      <c r="D23" s="131"/>
      <c r="E23" s="19" t="s">
        <v>48</v>
      </c>
      <c r="F23" s="21"/>
      <c r="G23" s="41"/>
      <c r="H23" s="19"/>
      <c r="I23" s="19"/>
      <c r="J23" s="21" t="s">
        <v>49</v>
      </c>
      <c r="K23" s="19"/>
      <c r="L23" s="22"/>
      <c r="M23" s="22"/>
      <c r="N23" s="23"/>
      <c r="O23" s="22"/>
      <c r="P23" s="22"/>
      <c r="Q23" s="23"/>
      <c r="R23" s="22"/>
      <c r="S23" s="28" t="s">
        <v>50</v>
      </c>
      <c r="T23" s="22"/>
      <c r="U23" s="18"/>
      <c r="V23" s="18"/>
      <c r="W23" s="18"/>
      <c r="X23" s="18"/>
      <c r="Y23" s="18"/>
      <c r="Z23" s="18"/>
      <c r="AA23" s="18"/>
      <c r="AB23" s="18"/>
      <c r="AC23" s="18"/>
    </row>
    <row r="24" spans="3:29" x14ac:dyDescent="0.25">
      <c r="C24" s="131"/>
      <c r="D24" s="131"/>
      <c r="E24" s="19" t="s">
        <v>51</v>
      </c>
      <c r="F24" s="21"/>
      <c r="G24" s="41"/>
      <c r="H24" s="19"/>
      <c r="I24" s="19"/>
      <c r="J24" s="21"/>
      <c r="K24" s="19"/>
      <c r="L24" s="22"/>
      <c r="M24" s="22"/>
      <c r="N24" s="23"/>
      <c r="O24" s="22"/>
      <c r="P24" s="22"/>
      <c r="Q24" s="23"/>
      <c r="R24" s="22"/>
      <c r="S24" s="28"/>
      <c r="T24" s="22"/>
      <c r="U24" s="18"/>
      <c r="V24" s="18"/>
      <c r="W24" s="18"/>
      <c r="X24" s="18"/>
      <c r="Y24" s="18"/>
      <c r="Z24" s="18"/>
      <c r="AA24" s="18"/>
      <c r="AB24" s="18"/>
      <c r="AC24" s="18"/>
    </row>
    <row r="25" spans="3:29" x14ac:dyDescent="0.25">
      <c r="C25" s="132"/>
      <c r="D25" s="132"/>
      <c r="E25" s="31"/>
      <c r="F25" s="32"/>
      <c r="G25" s="31"/>
      <c r="H25" s="31"/>
      <c r="I25" s="31"/>
      <c r="J25" s="32"/>
      <c r="K25" s="31"/>
      <c r="L25" s="33"/>
      <c r="M25" s="33"/>
      <c r="N25" s="34"/>
      <c r="O25" s="33"/>
      <c r="P25" s="33"/>
      <c r="Q25" s="34"/>
      <c r="R25" s="33"/>
      <c r="S25" s="33"/>
      <c r="T25" s="33"/>
      <c r="U25" s="5"/>
      <c r="V25" s="5"/>
      <c r="W25" s="5"/>
      <c r="X25" s="5"/>
      <c r="Y25" s="5"/>
      <c r="Z25" s="5"/>
      <c r="AA25" s="5"/>
      <c r="AB25" s="5"/>
      <c r="AC25" s="5"/>
    </row>
    <row r="27" spans="3:29" x14ac:dyDescent="0.25">
      <c r="D27" s="39" t="s">
        <v>53</v>
      </c>
    </row>
    <row r="28" spans="3:29" s="38" customFormat="1" x14ac:dyDescent="0.25">
      <c r="D28" t="s">
        <v>131</v>
      </c>
      <c r="L28" s="40"/>
      <c r="N28" s="40"/>
      <c r="O28" s="40"/>
      <c r="Q28" s="40"/>
      <c r="R28" s="40"/>
      <c r="T28" s="40"/>
    </row>
  </sheetData>
  <mergeCells count="3">
    <mergeCell ref="C8:C25"/>
    <mergeCell ref="D8:D19"/>
    <mergeCell ref="D20:D2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3"/>
  </sheetPr>
  <dimension ref="B2:AA28"/>
  <sheetViews>
    <sheetView showGridLines="0" zoomScale="115" zoomScaleNormal="115" workbookViewId="0">
      <selection activeCell="K4" sqref="K4"/>
    </sheetView>
  </sheetViews>
  <sheetFormatPr baseColWidth="10" defaultRowHeight="15" x14ac:dyDescent="0.25"/>
  <cols>
    <col min="1" max="1" width="4.7109375" customWidth="1"/>
    <col min="2" max="2" width="2.85546875" customWidth="1"/>
    <col min="3" max="3" width="14.7109375" customWidth="1"/>
    <col min="5" max="5" width="19" customWidth="1"/>
    <col min="6" max="6" width="23.140625" customWidth="1"/>
    <col min="7" max="7" width="21.28515625" bestFit="1" customWidth="1"/>
    <col min="8" max="8" width="20.140625" customWidth="1"/>
    <col min="9" max="9" width="26.5703125" bestFit="1" customWidth="1"/>
    <col min="10" max="10" width="1.7109375" style="37" customWidth="1"/>
    <col min="11" max="11" width="15.28515625" customWidth="1"/>
    <col min="12" max="13" width="1.7109375" style="37" customWidth="1"/>
    <col min="14" max="14" width="44.7109375" customWidth="1"/>
    <col min="15" max="16" width="1.7109375" style="37" customWidth="1"/>
    <col min="17" max="17" width="44.7109375" customWidth="1"/>
    <col min="18" max="18" width="1.7109375" style="37" customWidth="1"/>
    <col min="19" max="19" width="1" customWidth="1"/>
  </cols>
  <sheetData>
    <row r="2" spans="2:27" x14ac:dyDescent="0.25">
      <c r="B2" s="48"/>
      <c r="C2" s="50" t="s">
        <v>177</v>
      </c>
      <c r="D2" s="49"/>
      <c r="E2" s="49"/>
      <c r="F2" s="49"/>
      <c r="G2" s="49"/>
      <c r="H2" s="49"/>
    </row>
    <row r="4" spans="2:27" x14ac:dyDescent="0.25">
      <c r="C4" s="1" t="s">
        <v>0</v>
      </c>
      <c r="D4" s="1" t="s">
        <v>1</v>
      </c>
      <c r="E4" s="2" t="s">
        <v>2</v>
      </c>
      <c r="F4" s="2"/>
      <c r="G4" s="2"/>
      <c r="H4" s="2"/>
      <c r="I4" s="2"/>
      <c r="J4" s="3"/>
      <c r="K4" s="3" t="s">
        <v>3</v>
      </c>
      <c r="L4" s="3"/>
      <c r="M4" s="3"/>
      <c r="N4" s="3"/>
      <c r="O4" s="3"/>
      <c r="P4" s="3"/>
      <c r="Q4" s="3"/>
      <c r="R4" s="3"/>
      <c r="S4" s="4"/>
      <c r="T4" s="4" t="s">
        <v>4</v>
      </c>
      <c r="U4" s="5"/>
      <c r="V4" s="5"/>
      <c r="W4" s="5"/>
      <c r="X4" s="5"/>
      <c r="Y4" s="5"/>
      <c r="Z4" s="5"/>
      <c r="AA4" s="5"/>
    </row>
    <row r="5" spans="2:27" s="12" customFormat="1" ht="12" customHeight="1" x14ac:dyDescent="0.2">
      <c r="C5" s="134" t="s">
        <v>52</v>
      </c>
      <c r="D5" s="137" t="s">
        <v>6</v>
      </c>
      <c r="E5" s="6" t="s">
        <v>7</v>
      </c>
      <c r="F5" s="7" t="s">
        <v>60</v>
      </c>
      <c r="G5" s="8" t="s">
        <v>66</v>
      </c>
      <c r="H5" s="7" t="s">
        <v>8</v>
      </c>
      <c r="I5" s="8" t="s">
        <v>72</v>
      </c>
      <c r="J5" s="9"/>
      <c r="K5" s="9" t="s">
        <v>12</v>
      </c>
      <c r="L5" s="10"/>
      <c r="M5" s="9"/>
      <c r="N5" s="9" t="s">
        <v>13</v>
      </c>
      <c r="O5" s="10"/>
      <c r="P5" s="9"/>
      <c r="Q5" s="9" t="s">
        <v>14</v>
      </c>
      <c r="R5" s="9"/>
      <c r="S5" s="11"/>
      <c r="T5" s="11"/>
      <c r="U5" s="11"/>
      <c r="V5" s="11"/>
      <c r="W5" s="11"/>
      <c r="X5" s="11"/>
      <c r="Y5" s="11"/>
      <c r="Z5" s="11"/>
      <c r="AA5" s="11"/>
    </row>
    <row r="6" spans="2:27" s="12" customFormat="1" x14ac:dyDescent="0.25">
      <c r="C6" s="135"/>
      <c r="D6" s="138"/>
      <c r="E6" s="13"/>
      <c r="F6" s="14" t="s">
        <v>61</v>
      </c>
      <c r="G6" s="15" t="s">
        <v>65</v>
      </c>
      <c r="H6" s="14"/>
      <c r="I6" s="15"/>
      <c r="J6" s="16"/>
      <c r="K6" s="16"/>
      <c r="L6" s="17"/>
      <c r="M6" s="16"/>
      <c r="N6" s="16"/>
      <c r="O6" s="17"/>
      <c r="P6" s="16"/>
      <c r="Q6" s="16"/>
      <c r="R6" s="16"/>
      <c r="S6" s="11"/>
      <c r="T6" s="18" t="s">
        <v>17</v>
      </c>
      <c r="U6" s="11"/>
      <c r="V6" s="11"/>
      <c r="W6" s="11"/>
      <c r="X6" s="11"/>
      <c r="Y6" s="11"/>
      <c r="Z6" s="11"/>
      <c r="AA6" s="11"/>
    </row>
    <row r="7" spans="2:27" x14ac:dyDescent="0.25">
      <c r="C7" s="135"/>
      <c r="D7" s="138"/>
      <c r="E7" s="19"/>
      <c r="F7" s="20"/>
      <c r="G7" s="19"/>
      <c r="H7" s="21"/>
      <c r="I7" s="19"/>
      <c r="J7" s="22"/>
      <c r="K7" s="22"/>
      <c r="L7" s="23"/>
      <c r="M7" s="22"/>
      <c r="N7" s="22"/>
      <c r="O7" s="23"/>
      <c r="P7" s="22"/>
      <c r="Q7" s="22"/>
      <c r="R7" s="22"/>
      <c r="S7" s="18"/>
      <c r="T7" s="18"/>
      <c r="U7" s="18"/>
      <c r="V7" s="18"/>
      <c r="W7" s="18"/>
      <c r="X7" s="18"/>
      <c r="Y7" s="18"/>
      <c r="Z7" s="18"/>
      <c r="AA7" s="18"/>
    </row>
    <row r="8" spans="2:27" x14ac:dyDescent="0.25">
      <c r="C8" s="135"/>
      <c r="D8" s="138"/>
      <c r="E8" s="19"/>
      <c r="F8" s="21"/>
      <c r="G8" s="19"/>
      <c r="H8" s="21"/>
      <c r="I8" s="19"/>
      <c r="J8" s="22"/>
      <c r="K8" s="24" t="s">
        <v>55</v>
      </c>
      <c r="L8" s="23"/>
      <c r="M8" s="22"/>
      <c r="N8" s="24" t="s">
        <v>19</v>
      </c>
      <c r="O8" s="23"/>
      <c r="P8" s="22"/>
      <c r="Q8" s="25" t="s">
        <v>20</v>
      </c>
      <c r="R8" s="22"/>
      <c r="S8" s="18"/>
      <c r="T8" s="18" t="s">
        <v>21</v>
      </c>
      <c r="U8" s="18"/>
      <c r="V8" s="18"/>
      <c r="W8" s="18"/>
      <c r="X8" s="18"/>
      <c r="Y8" s="18"/>
      <c r="Z8" s="18"/>
      <c r="AA8" s="18"/>
    </row>
    <row r="9" spans="2:27" x14ac:dyDescent="0.25">
      <c r="C9" s="135"/>
      <c r="D9" s="138"/>
      <c r="E9" s="19"/>
      <c r="F9" s="21"/>
      <c r="G9" s="19"/>
      <c r="H9" s="21"/>
      <c r="I9" s="19"/>
      <c r="J9" s="22"/>
      <c r="K9" s="26" t="s">
        <v>54</v>
      </c>
      <c r="L9" s="23"/>
      <c r="M9" s="22"/>
      <c r="N9" s="26" t="s">
        <v>23</v>
      </c>
      <c r="O9" s="23"/>
      <c r="P9" s="22"/>
      <c r="Q9" s="27" t="s">
        <v>24</v>
      </c>
      <c r="R9" s="22"/>
      <c r="S9" s="18"/>
      <c r="T9" s="18"/>
      <c r="U9" s="18"/>
      <c r="V9" s="18"/>
      <c r="W9" s="18"/>
      <c r="X9" s="18"/>
      <c r="Y9" s="18"/>
      <c r="Z9" s="18"/>
      <c r="AA9" s="18"/>
    </row>
    <row r="10" spans="2:27" x14ac:dyDescent="0.25">
      <c r="C10" s="135"/>
      <c r="D10" s="138"/>
      <c r="E10" s="19"/>
      <c r="F10" s="21"/>
      <c r="G10" s="19"/>
      <c r="H10" s="21"/>
      <c r="I10" s="19"/>
      <c r="J10" s="22"/>
      <c r="K10" s="22"/>
      <c r="L10" s="23"/>
      <c r="M10" s="22"/>
      <c r="N10" s="22"/>
      <c r="O10" s="23"/>
      <c r="P10" s="22"/>
      <c r="Q10" s="28"/>
      <c r="R10" s="22"/>
      <c r="S10" s="18"/>
      <c r="T10" s="18" t="s">
        <v>27</v>
      </c>
      <c r="U10" s="18"/>
      <c r="V10" s="18"/>
      <c r="W10" s="18"/>
      <c r="X10" s="18"/>
      <c r="Y10" s="18"/>
      <c r="Z10" s="18"/>
      <c r="AA10" s="18"/>
    </row>
    <row r="11" spans="2:27" x14ac:dyDescent="0.25">
      <c r="C11" s="135"/>
      <c r="D11" s="138"/>
      <c r="E11" s="19"/>
      <c r="F11" s="21"/>
      <c r="G11" s="29"/>
      <c r="H11" s="21"/>
      <c r="I11" s="19"/>
      <c r="J11" s="22"/>
      <c r="K11" s="24" t="s">
        <v>56</v>
      </c>
      <c r="L11" s="23"/>
      <c r="M11" s="22"/>
      <c r="N11" s="24" t="s">
        <v>29</v>
      </c>
      <c r="O11" s="23"/>
      <c r="P11" s="22"/>
      <c r="Q11" s="25" t="s">
        <v>23</v>
      </c>
      <c r="R11" s="22"/>
      <c r="S11" s="18"/>
      <c r="T11" s="18"/>
      <c r="U11" s="18"/>
      <c r="V11" s="18"/>
      <c r="W11" s="18"/>
      <c r="X11" s="18"/>
      <c r="Y11" s="18"/>
      <c r="Z11" s="18"/>
      <c r="AA11" s="18"/>
    </row>
    <row r="12" spans="2:27" x14ac:dyDescent="0.25">
      <c r="C12" s="135"/>
      <c r="D12" s="138"/>
      <c r="E12" s="19"/>
      <c r="F12" s="21"/>
      <c r="G12" s="29"/>
      <c r="H12" s="21"/>
      <c r="I12" s="19"/>
      <c r="J12" s="22"/>
      <c r="K12" s="26" t="s">
        <v>54</v>
      </c>
      <c r="L12" s="23"/>
      <c r="M12" s="22"/>
      <c r="N12" s="26" t="s">
        <v>23</v>
      </c>
      <c r="O12" s="23"/>
      <c r="P12" s="22"/>
      <c r="Q12" s="28" t="s">
        <v>31</v>
      </c>
      <c r="R12" s="22"/>
      <c r="S12" s="18"/>
      <c r="T12" s="18" t="s">
        <v>32</v>
      </c>
      <c r="U12" s="18"/>
      <c r="V12" s="18"/>
      <c r="W12" s="18"/>
      <c r="X12" s="18"/>
      <c r="Y12" s="18"/>
      <c r="Z12" s="18"/>
      <c r="AA12" s="18"/>
    </row>
    <row r="13" spans="2:27" x14ac:dyDescent="0.25">
      <c r="C13" s="135"/>
      <c r="D13" s="138"/>
      <c r="E13" s="19"/>
      <c r="F13" s="21"/>
      <c r="G13" s="42"/>
      <c r="H13" s="21"/>
      <c r="I13" s="19"/>
      <c r="J13" s="22"/>
      <c r="K13" s="22"/>
      <c r="L13" s="23"/>
      <c r="M13" s="22"/>
      <c r="N13" s="22"/>
      <c r="O13" s="23"/>
      <c r="P13" s="22"/>
      <c r="Q13" s="28"/>
      <c r="R13" s="22"/>
      <c r="S13" s="18"/>
      <c r="T13" s="18"/>
      <c r="U13" s="18"/>
      <c r="V13" s="18"/>
      <c r="W13" s="18"/>
      <c r="X13" s="18"/>
      <c r="Y13" s="18"/>
      <c r="Z13" s="18"/>
      <c r="AA13" s="18"/>
    </row>
    <row r="14" spans="2:27" x14ac:dyDescent="0.25">
      <c r="C14" s="135"/>
      <c r="D14" s="138"/>
      <c r="E14" s="19"/>
      <c r="F14" s="21"/>
      <c r="G14" s="42"/>
      <c r="H14" s="21"/>
      <c r="I14" s="19"/>
      <c r="J14" s="22"/>
      <c r="K14" s="24" t="s">
        <v>57</v>
      </c>
      <c r="L14" s="23"/>
      <c r="M14" s="22"/>
      <c r="N14" s="24" t="s">
        <v>58</v>
      </c>
      <c r="O14" s="23"/>
      <c r="P14" s="22"/>
      <c r="Q14" s="28"/>
      <c r="R14" s="22"/>
      <c r="S14" s="18"/>
      <c r="T14" s="18" t="s">
        <v>36</v>
      </c>
      <c r="U14" s="18"/>
      <c r="V14" s="18"/>
      <c r="W14" s="18"/>
      <c r="X14" s="18"/>
      <c r="Y14" s="18"/>
      <c r="Z14" s="18"/>
      <c r="AA14" s="18"/>
    </row>
    <row r="15" spans="2:27" x14ac:dyDescent="0.25">
      <c r="C15" s="135"/>
      <c r="D15" s="138"/>
      <c r="E15" s="19"/>
      <c r="F15" s="21"/>
      <c r="G15" s="19"/>
      <c r="H15" s="21"/>
      <c r="I15" s="19"/>
      <c r="J15" s="22"/>
      <c r="K15" s="26" t="s">
        <v>54</v>
      </c>
      <c r="L15" s="23"/>
      <c r="M15" s="22"/>
      <c r="N15" s="26" t="s">
        <v>59</v>
      </c>
      <c r="O15" s="23"/>
      <c r="P15" s="22"/>
      <c r="Q15" s="28"/>
      <c r="R15" s="22"/>
      <c r="S15" s="18"/>
      <c r="T15" s="18"/>
      <c r="U15" s="18"/>
      <c r="V15" s="18"/>
      <c r="W15" s="18"/>
      <c r="X15" s="18"/>
      <c r="Y15" s="18"/>
      <c r="Z15" s="18"/>
      <c r="AA15" s="18"/>
    </row>
    <row r="16" spans="2:27" x14ac:dyDescent="0.25">
      <c r="C16" s="135"/>
      <c r="D16" s="138"/>
      <c r="E16" s="19"/>
      <c r="F16" s="21"/>
      <c r="G16" s="19"/>
      <c r="H16" s="21"/>
      <c r="I16" s="19"/>
      <c r="J16" s="22"/>
      <c r="K16" s="36"/>
      <c r="L16" s="23"/>
      <c r="M16" s="22"/>
      <c r="N16" s="36"/>
      <c r="O16" s="23"/>
      <c r="P16" s="22"/>
      <c r="Q16" s="28"/>
      <c r="R16" s="22"/>
      <c r="S16" s="18"/>
      <c r="T16" s="18"/>
      <c r="U16" s="18"/>
      <c r="V16" s="18"/>
      <c r="W16" s="18"/>
      <c r="X16" s="18"/>
      <c r="Y16" s="18"/>
      <c r="Z16" s="18"/>
      <c r="AA16" s="18"/>
    </row>
    <row r="17" spans="3:27" x14ac:dyDescent="0.25">
      <c r="C17" s="135"/>
      <c r="D17" s="138"/>
      <c r="E17" s="19"/>
      <c r="F17" s="21"/>
      <c r="G17" s="19"/>
      <c r="H17" s="21"/>
      <c r="I17" s="19"/>
      <c r="J17" s="22"/>
      <c r="K17" s="36"/>
      <c r="L17" s="23"/>
      <c r="M17" s="22"/>
      <c r="N17" s="24" t="s">
        <v>19</v>
      </c>
      <c r="O17" s="23"/>
      <c r="P17" s="22"/>
      <c r="Q17" s="28"/>
      <c r="R17" s="22"/>
      <c r="S17" s="18"/>
      <c r="T17" s="18"/>
      <c r="U17" s="18"/>
      <c r="V17" s="18"/>
      <c r="W17" s="18"/>
      <c r="X17" s="18"/>
      <c r="Y17" s="18"/>
      <c r="Z17" s="18"/>
      <c r="AA17" s="18"/>
    </row>
    <row r="18" spans="3:27" x14ac:dyDescent="0.25">
      <c r="C18" s="135"/>
      <c r="D18" s="138"/>
      <c r="E18" s="19"/>
      <c r="F18" s="21"/>
      <c r="G18" s="19"/>
      <c r="H18" s="21"/>
      <c r="I18" s="19"/>
      <c r="J18" s="22"/>
      <c r="K18" s="36"/>
      <c r="L18" s="23"/>
      <c r="M18" s="22"/>
      <c r="N18" s="26" t="s">
        <v>37</v>
      </c>
      <c r="O18" s="23"/>
      <c r="P18" s="22"/>
      <c r="Q18" s="28"/>
      <c r="R18" s="22"/>
      <c r="S18" s="18"/>
      <c r="T18" s="18"/>
      <c r="U18" s="18"/>
      <c r="V18" s="18"/>
      <c r="W18" s="18"/>
      <c r="X18" s="18"/>
      <c r="Y18" s="18"/>
      <c r="Z18" s="18"/>
      <c r="AA18" s="18"/>
    </row>
    <row r="19" spans="3:27" x14ac:dyDescent="0.25">
      <c r="C19" s="135"/>
      <c r="D19" s="138"/>
      <c r="E19" s="19"/>
      <c r="F19" s="21"/>
      <c r="G19" s="19"/>
      <c r="H19" s="21"/>
      <c r="I19" s="19"/>
      <c r="J19" s="22"/>
      <c r="K19" s="36"/>
      <c r="L19" s="23"/>
      <c r="M19" s="22"/>
      <c r="N19" s="36"/>
      <c r="O19" s="23"/>
      <c r="P19" s="22"/>
      <c r="Q19" s="28"/>
      <c r="R19" s="22"/>
      <c r="S19" s="18"/>
      <c r="T19" s="18"/>
      <c r="U19" s="18"/>
      <c r="V19" s="18"/>
      <c r="W19" s="18"/>
      <c r="X19" s="18"/>
      <c r="Y19" s="18"/>
      <c r="Z19" s="18"/>
      <c r="AA19" s="18"/>
    </row>
    <row r="20" spans="3:27" x14ac:dyDescent="0.25">
      <c r="C20" s="135"/>
      <c r="D20" s="138"/>
      <c r="E20" s="19"/>
      <c r="F20" s="21"/>
      <c r="G20" s="19"/>
      <c r="H20" s="21"/>
      <c r="I20" s="19"/>
      <c r="J20" s="22"/>
      <c r="K20" s="36"/>
      <c r="L20" s="23"/>
      <c r="M20" s="22"/>
      <c r="N20" s="24" t="s">
        <v>57</v>
      </c>
      <c r="O20" s="23"/>
      <c r="P20" s="22"/>
      <c r="Q20" s="28"/>
      <c r="R20" s="22"/>
      <c r="S20" s="18"/>
      <c r="T20" s="18"/>
      <c r="U20" s="18"/>
      <c r="V20" s="18"/>
      <c r="W20" s="18"/>
      <c r="X20" s="18"/>
      <c r="Y20" s="18"/>
      <c r="Z20" s="18"/>
      <c r="AA20" s="18"/>
    </row>
    <row r="21" spans="3:27" x14ac:dyDescent="0.25">
      <c r="C21" s="135"/>
      <c r="D21" s="138"/>
      <c r="E21" s="19"/>
      <c r="F21" s="21"/>
      <c r="G21" s="19"/>
      <c r="H21" s="21"/>
      <c r="I21" s="19"/>
      <c r="J21" s="22"/>
      <c r="K21" s="36"/>
      <c r="L21" s="23"/>
      <c r="M21" s="22"/>
      <c r="N21" s="26" t="s">
        <v>19</v>
      </c>
      <c r="O21" s="23"/>
      <c r="P21" s="22"/>
      <c r="Q21" s="28"/>
      <c r="R21" s="22"/>
      <c r="S21" s="18"/>
      <c r="T21" s="18"/>
      <c r="U21" s="18"/>
      <c r="V21" s="18"/>
      <c r="W21" s="18"/>
      <c r="X21" s="18"/>
      <c r="Y21" s="18"/>
      <c r="Z21" s="18"/>
      <c r="AA21" s="18"/>
    </row>
    <row r="22" spans="3:27" x14ac:dyDescent="0.25">
      <c r="C22" s="135"/>
      <c r="D22" s="139"/>
      <c r="E22" s="31"/>
      <c r="F22" s="32"/>
      <c r="G22" s="31"/>
      <c r="H22" s="32"/>
      <c r="I22" s="31"/>
      <c r="J22" s="33"/>
      <c r="K22" s="33"/>
      <c r="L22" s="34"/>
      <c r="M22" s="33"/>
      <c r="N22" s="33"/>
      <c r="O22" s="34"/>
      <c r="P22" s="33"/>
      <c r="Q22" s="35"/>
      <c r="R22" s="33"/>
      <c r="S22" s="18"/>
      <c r="T22" s="18"/>
      <c r="U22" s="18"/>
      <c r="V22" s="18"/>
      <c r="W22" s="18"/>
      <c r="X22" s="18"/>
      <c r="Y22" s="18"/>
      <c r="Z22" s="18"/>
      <c r="AA22" s="18"/>
    </row>
    <row r="23" spans="3:27" x14ac:dyDescent="0.25">
      <c r="C23" s="135"/>
      <c r="D23" s="133" t="s">
        <v>39</v>
      </c>
      <c r="E23" s="19"/>
      <c r="F23" s="21"/>
      <c r="G23" s="19"/>
      <c r="H23" s="21"/>
      <c r="I23" s="19"/>
      <c r="J23" s="22"/>
      <c r="K23" s="22"/>
      <c r="L23" s="23"/>
      <c r="M23" s="22"/>
      <c r="N23" s="22"/>
      <c r="O23" s="23"/>
      <c r="P23" s="22"/>
      <c r="Q23" s="28"/>
      <c r="R23" s="22"/>
      <c r="S23" s="18"/>
      <c r="T23" s="18"/>
      <c r="U23" s="18"/>
      <c r="V23" s="18"/>
      <c r="W23" s="18"/>
      <c r="X23" s="18"/>
      <c r="Y23" s="18"/>
      <c r="Z23" s="18"/>
      <c r="AA23" s="18"/>
    </row>
    <row r="24" spans="3:27" x14ac:dyDescent="0.25">
      <c r="C24" s="135"/>
      <c r="D24" s="131"/>
      <c r="E24" s="19" t="s">
        <v>40</v>
      </c>
      <c r="F24" s="21" t="s">
        <v>62</v>
      </c>
      <c r="G24" s="19" t="s">
        <v>66</v>
      </c>
      <c r="H24" s="21" t="s">
        <v>69</v>
      </c>
      <c r="I24" s="19" t="s">
        <v>73</v>
      </c>
      <c r="J24" s="22"/>
      <c r="K24" s="36"/>
      <c r="L24" s="23"/>
      <c r="M24" s="22"/>
      <c r="N24" s="22"/>
      <c r="O24" s="23"/>
      <c r="P24" s="22"/>
      <c r="Q24" s="28" t="s">
        <v>43</v>
      </c>
      <c r="R24" s="22"/>
      <c r="S24" s="18"/>
      <c r="T24" s="18"/>
      <c r="U24" s="18"/>
      <c r="V24" s="18"/>
      <c r="W24" s="18"/>
      <c r="X24" s="18"/>
      <c r="Y24" s="18"/>
      <c r="Z24" s="18"/>
      <c r="AA24" s="18"/>
    </row>
    <row r="25" spans="3:27" x14ac:dyDescent="0.25">
      <c r="C25" s="135"/>
      <c r="D25" s="131"/>
      <c r="E25" s="19" t="s">
        <v>44</v>
      </c>
      <c r="F25" s="21" t="s">
        <v>63</v>
      </c>
      <c r="G25" s="19" t="s">
        <v>67</v>
      </c>
      <c r="H25" s="21" t="s">
        <v>70</v>
      </c>
      <c r="I25" s="19" t="s">
        <v>74</v>
      </c>
      <c r="J25" s="22"/>
      <c r="K25" s="36"/>
      <c r="L25" s="23"/>
      <c r="M25" s="22"/>
      <c r="N25" s="22"/>
      <c r="O25" s="23"/>
      <c r="P25" s="22"/>
      <c r="Q25" s="28"/>
      <c r="R25" s="22"/>
      <c r="S25" s="18"/>
      <c r="T25" s="18"/>
      <c r="U25" s="18"/>
      <c r="V25" s="18"/>
      <c r="W25" s="18"/>
      <c r="X25" s="18"/>
      <c r="Y25" s="18"/>
      <c r="Z25" s="18"/>
      <c r="AA25" s="18"/>
    </row>
    <row r="26" spans="3:27" x14ac:dyDescent="0.25">
      <c r="C26" s="135"/>
      <c r="D26" s="131"/>
      <c r="E26" s="19" t="s">
        <v>48</v>
      </c>
      <c r="F26" s="21" t="s">
        <v>64</v>
      </c>
      <c r="G26" s="19" t="s">
        <v>68</v>
      </c>
      <c r="H26" s="21" t="s">
        <v>71</v>
      </c>
      <c r="I26" s="19" t="s">
        <v>75</v>
      </c>
      <c r="J26" s="22"/>
      <c r="K26" s="22"/>
      <c r="L26" s="23"/>
      <c r="M26" s="22"/>
      <c r="N26" s="22"/>
      <c r="O26" s="23"/>
      <c r="P26" s="22"/>
      <c r="Q26" s="28" t="s">
        <v>50</v>
      </c>
      <c r="R26" s="22"/>
      <c r="S26" s="18"/>
      <c r="T26" s="18"/>
      <c r="U26" s="18"/>
      <c r="V26" s="18"/>
      <c r="W26" s="18"/>
      <c r="X26" s="18"/>
      <c r="Y26" s="18"/>
      <c r="Z26" s="18"/>
      <c r="AA26" s="18"/>
    </row>
    <row r="27" spans="3:27" x14ac:dyDescent="0.25">
      <c r="C27" s="135"/>
      <c r="D27" s="131"/>
      <c r="E27" s="19" t="s">
        <v>51</v>
      </c>
      <c r="F27" s="21"/>
      <c r="G27" s="19"/>
      <c r="H27" s="21"/>
      <c r="I27" s="19"/>
      <c r="J27" s="22"/>
      <c r="K27" s="22"/>
      <c r="L27" s="23"/>
      <c r="M27" s="22"/>
      <c r="N27" s="22"/>
      <c r="O27" s="23"/>
      <c r="P27" s="22"/>
      <c r="Q27" s="28"/>
      <c r="R27" s="22"/>
      <c r="S27" s="18"/>
      <c r="T27" s="18"/>
      <c r="U27" s="18"/>
      <c r="V27" s="18"/>
      <c r="W27" s="18"/>
      <c r="X27" s="18"/>
      <c r="Y27" s="18"/>
      <c r="Z27" s="18"/>
      <c r="AA27" s="18"/>
    </row>
    <row r="28" spans="3:27" x14ac:dyDescent="0.25">
      <c r="C28" s="136"/>
      <c r="D28" s="132"/>
      <c r="E28" s="31"/>
      <c r="F28" s="32"/>
      <c r="G28" s="31"/>
      <c r="H28" s="32"/>
      <c r="I28" s="31"/>
      <c r="J28" s="33"/>
      <c r="K28" s="33"/>
      <c r="L28" s="34"/>
      <c r="M28" s="33"/>
      <c r="N28" s="33"/>
      <c r="O28" s="34"/>
      <c r="P28" s="33"/>
      <c r="Q28" s="33"/>
      <c r="R28" s="33"/>
      <c r="S28" s="18"/>
      <c r="T28" s="18"/>
      <c r="U28" s="18"/>
      <c r="V28" s="18"/>
      <c r="W28" s="18"/>
      <c r="X28" s="18"/>
      <c r="Y28" s="18"/>
      <c r="Z28" s="18"/>
      <c r="AA28" s="18"/>
    </row>
  </sheetData>
  <mergeCells count="3">
    <mergeCell ref="C5:C28"/>
    <mergeCell ref="D23:D28"/>
    <mergeCell ref="D5:D2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3"/>
  </sheetPr>
  <dimension ref="B2:AA25"/>
  <sheetViews>
    <sheetView showGridLines="0" zoomScale="115" zoomScaleNormal="115" workbookViewId="0">
      <selection activeCell="K4" sqref="K4"/>
    </sheetView>
  </sheetViews>
  <sheetFormatPr baseColWidth="10" defaultRowHeight="15" x14ac:dyDescent="0.25"/>
  <cols>
    <col min="1" max="1" width="4.7109375" customWidth="1"/>
    <col min="2" max="2" width="2.85546875" customWidth="1"/>
    <col min="3" max="3" width="14.7109375" customWidth="1"/>
    <col min="5" max="5" width="19" customWidth="1"/>
    <col min="6" max="6" width="30.28515625" bestFit="1" customWidth="1"/>
    <col min="7" max="7" width="19.42578125" bestFit="1" customWidth="1"/>
    <col min="8" max="8" width="31.85546875" bestFit="1" customWidth="1"/>
    <col min="9" max="9" width="34.28515625" bestFit="1" customWidth="1"/>
    <col min="10" max="10" width="1.7109375" style="37" customWidth="1"/>
    <col min="11" max="11" width="23.140625" bestFit="1" customWidth="1"/>
    <col min="12" max="13" width="1.7109375" style="37" customWidth="1"/>
    <col min="14" max="14" width="44.7109375" customWidth="1"/>
    <col min="15" max="16" width="1.7109375" style="37" customWidth="1"/>
    <col min="17" max="17" width="44.7109375" customWidth="1"/>
    <col min="18" max="18" width="1.7109375" style="37" customWidth="1"/>
    <col min="19" max="19" width="1" customWidth="1"/>
  </cols>
  <sheetData>
    <row r="2" spans="2:27" x14ac:dyDescent="0.25">
      <c r="B2" s="48"/>
      <c r="C2" s="50" t="s">
        <v>178</v>
      </c>
      <c r="D2" s="49"/>
      <c r="E2" s="49"/>
      <c r="F2" s="49"/>
      <c r="G2" s="49"/>
      <c r="H2" s="49"/>
    </row>
    <row r="4" spans="2:27" x14ac:dyDescent="0.25">
      <c r="C4" s="1" t="s">
        <v>0</v>
      </c>
      <c r="D4" s="1" t="s">
        <v>1</v>
      </c>
      <c r="E4" s="2" t="s">
        <v>2</v>
      </c>
      <c r="F4" s="2"/>
      <c r="G4" s="2"/>
      <c r="H4" s="2"/>
      <c r="I4" s="2"/>
      <c r="J4" s="3"/>
      <c r="K4" s="3" t="s">
        <v>3</v>
      </c>
      <c r="L4" s="3"/>
      <c r="M4" s="3"/>
      <c r="N4" s="3"/>
      <c r="O4" s="3"/>
      <c r="P4" s="3"/>
      <c r="Q4" s="3"/>
      <c r="R4" s="3"/>
      <c r="S4" s="4"/>
      <c r="T4" s="4" t="s">
        <v>4</v>
      </c>
      <c r="U4" s="5"/>
      <c r="V4" s="5"/>
      <c r="W4" s="5"/>
      <c r="X4" s="5"/>
      <c r="Y4" s="5"/>
      <c r="Z4" s="5"/>
      <c r="AA4" s="5"/>
    </row>
    <row r="5" spans="2:27" x14ac:dyDescent="0.25">
      <c r="C5" s="135" t="s">
        <v>52</v>
      </c>
      <c r="D5" s="131" t="s">
        <v>6</v>
      </c>
      <c r="E5" s="6" t="s">
        <v>7</v>
      </c>
      <c r="F5" s="7" t="s">
        <v>66</v>
      </c>
      <c r="G5" s="8" t="s">
        <v>8</v>
      </c>
      <c r="H5" s="7" t="s">
        <v>85</v>
      </c>
      <c r="I5" s="8" t="s">
        <v>93</v>
      </c>
      <c r="J5" s="9"/>
      <c r="K5" s="9" t="s">
        <v>12</v>
      </c>
      <c r="L5" s="10"/>
      <c r="M5" s="9"/>
      <c r="N5" s="9" t="s">
        <v>13</v>
      </c>
      <c r="O5" s="10"/>
      <c r="P5" s="9"/>
      <c r="Q5" s="9" t="s">
        <v>14</v>
      </c>
      <c r="R5" s="9"/>
      <c r="S5" s="11"/>
      <c r="T5" s="11"/>
      <c r="U5" s="11"/>
      <c r="V5" s="11"/>
      <c r="W5" s="11"/>
      <c r="X5" s="11"/>
      <c r="Y5" s="11"/>
      <c r="Z5" s="11"/>
      <c r="AA5" s="11"/>
    </row>
    <row r="6" spans="2:27" x14ac:dyDescent="0.25">
      <c r="C6" s="131"/>
      <c r="D6" s="131"/>
      <c r="E6" s="13"/>
      <c r="F6" s="14" t="s">
        <v>76</v>
      </c>
      <c r="G6" s="15"/>
      <c r="H6" s="14" t="s">
        <v>86</v>
      </c>
      <c r="I6" s="15" t="s">
        <v>94</v>
      </c>
      <c r="J6" s="16"/>
      <c r="K6" s="16"/>
      <c r="L6" s="17"/>
      <c r="M6" s="16"/>
      <c r="N6" s="16"/>
      <c r="O6" s="17"/>
      <c r="P6" s="16"/>
      <c r="Q6" s="16"/>
      <c r="R6" s="16"/>
      <c r="S6" s="11"/>
      <c r="T6" s="18" t="s">
        <v>17</v>
      </c>
      <c r="U6" s="11"/>
      <c r="V6" s="11"/>
      <c r="W6" s="11"/>
      <c r="X6" s="11"/>
      <c r="Y6" s="11"/>
      <c r="Z6" s="11"/>
      <c r="AA6" s="11"/>
    </row>
    <row r="7" spans="2:27" x14ac:dyDescent="0.25">
      <c r="C7" s="131"/>
      <c r="D7" s="131"/>
      <c r="E7" s="19"/>
      <c r="F7" s="20"/>
      <c r="G7" s="19"/>
      <c r="H7" s="21"/>
      <c r="I7" s="19"/>
      <c r="J7" s="22"/>
      <c r="K7" s="22"/>
      <c r="L7" s="23"/>
      <c r="M7" s="22"/>
      <c r="N7" s="22"/>
      <c r="O7" s="23"/>
      <c r="P7" s="22"/>
      <c r="Q7" s="22"/>
      <c r="R7" s="22"/>
      <c r="S7" s="18"/>
      <c r="T7" s="18"/>
      <c r="U7" s="18"/>
      <c r="V7" s="18"/>
      <c r="W7" s="18"/>
      <c r="X7" s="18"/>
      <c r="Y7" s="18"/>
      <c r="Z7" s="18"/>
      <c r="AA7" s="18"/>
    </row>
    <row r="8" spans="2:27" x14ac:dyDescent="0.25">
      <c r="C8" s="131"/>
      <c r="D8" s="131"/>
      <c r="E8" s="19"/>
      <c r="F8" s="21"/>
      <c r="G8" s="19"/>
      <c r="H8" s="21"/>
      <c r="I8" s="19"/>
      <c r="J8" s="22"/>
      <c r="K8" s="24" t="s">
        <v>55</v>
      </c>
      <c r="L8" s="23"/>
      <c r="M8" s="22"/>
      <c r="N8" s="24" t="s">
        <v>19</v>
      </c>
      <c r="O8" s="23"/>
      <c r="P8" s="22"/>
      <c r="Q8" s="25" t="s">
        <v>20</v>
      </c>
      <c r="R8" s="22"/>
      <c r="S8" s="18"/>
      <c r="T8" s="18" t="s">
        <v>21</v>
      </c>
      <c r="U8" s="18"/>
      <c r="V8" s="18"/>
      <c r="W8" s="18"/>
      <c r="X8" s="18"/>
      <c r="Y8" s="18"/>
      <c r="Z8" s="18"/>
      <c r="AA8" s="18"/>
    </row>
    <row r="9" spans="2:27" x14ac:dyDescent="0.25">
      <c r="C9" s="131"/>
      <c r="D9" s="131"/>
      <c r="E9" s="19"/>
      <c r="F9" s="21"/>
      <c r="G9" s="19"/>
      <c r="H9" s="21" t="s">
        <v>87</v>
      </c>
      <c r="I9" s="19"/>
      <c r="J9" s="22"/>
      <c r="K9" s="26" t="s">
        <v>54</v>
      </c>
      <c r="L9" s="23"/>
      <c r="M9" s="22"/>
      <c r="N9" s="26" t="s">
        <v>23</v>
      </c>
      <c r="O9" s="23"/>
      <c r="P9" s="22"/>
      <c r="Q9" s="27" t="s">
        <v>24</v>
      </c>
      <c r="R9" s="22"/>
      <c r="S9" s="18"/>
      <c r="T9" s="18"/>
      <c r="U9" s="18"/>
      <c r="V9" s="18"/>
      <c r="W9" s="18"/>
      <c r="X9" s="18"/>
      <c r="Y9" s="18"/>
      <c r="Z9" s="18"/>
      <c r="AA9" s="18"/>
    </row>
    <row r="10" spans="2:27" x14ac:dyDescent="0.25">
      <c r="C10" s="131"/>
      <c r="D10" s="131"/>
      <c r="E10" s="19"/>
      <c r="F10" s="21"/>
      <c r="G10" s="19"/>
      <c r="H10" s="21" t="s">
        <v>88</v>
      </c>
      <c r="I10" s="19"/>
      <c r="J10" s="22"/>
      <c r="K10" s="22"/>
      <c r="L10" s="23"/>
      <c r="M10" s="22"/>
      <c r="N10" s="22"/>
      <c r="O10" s="23"/>
      <c r="P10" s="22"/>
      <c r="Q10" s="28"/>
      <c r="R10" s="22"/>
      <c r="S10" s="18"/>
      <c r="T10" s="18" t="s">
        <v>27</v>
      </c>
      <c r="U10" s="18"/>
      <c r="V10" s="18"/>
      <c r="W10" s="18"/>
      <c r="X10" s="18"/>
      <c r="Y10" s="18"/>
      <c r="Z10" s="18"/>
      <c r="AA10" s="18"/>
    </row>
    <row r="11" spans="2:27" x14ac:dyDescent="0.25">
      <c r="C11" s="131"/>
      <c r="D11" s="131"/>
      <c r="E11" s="19"/>
      <c r="F11" s="21"/>
      <c r="G11" s="29"/>
      <c r="H11" s="21"/>
      <c r="I11" s="19"/>
      <c r="J11" s="22"/>
      <c r="K11" s="24" t="s">
        <v>56</v>
      </c>
      <c r="L11" s="23"/>
      <c r="M11" s="22"/>
      <c r="N11" s="24" t="s">
        <v>29</v>
      </c>
      <c r="O11" s="23"/>
      <c r="P11" s="22"/>
      <c r="Q11" s="25" t="s">
        <v>23</v>
      </c>
      <c r="R11" s="22"/>
      <c r="S11" s="18"/>
      <c r="T11" s="18"/>
      <c r="U11" s="18"/>
      <c r="V11" s="18"/>
      <c r="W11" s="18"/>
      <c r="X11" s="18"/>
      <c r="Y11" s="18"/>
      <c r="Z11" s="18"/>
      <c r="AA11" s="18"/>
    </row>
    <row r="12" spans="2:27" x14ac:dyDescent="0.25">
      <c r="C12" s="131"/>
      <c r="D12" s="131"/>
      <c r="E12" s="19"/>
      <c r="F12" s="21"/>
      <c r="G12" s="29"/>
      <c r="H12" s="21"/>
      <c r="I12" s="19"/>
      <c r="J12" s="22"/>
      <c r="K12" s="26" t="s">
        <v>54</v>
      </c>
      <c r="L12" s="23"/>
      <c r="M12" s="22"/>
      <c r="N12" s="26" t="s">
        <v>23</v>
      </c>
      <c r="O12" s="23"/>
      <c r="P12" s="22"/>
      <c r="Q12" s="28" t="s">
        <v>31</v>
      </c>
      <c r="R12" s="22"/>
      <c r="S12" s="18"/>
      <c r="T12" s="18" t="s">
        <v>32</v>
      </c>
      <c r="U12" s="18"/>
      <c r="V12" s="18"/>
      <c r="W12" s="18"/>
      <c r="X12" s="18"/>
      <c r="Y12" s="18"/>
      <c r="Z12" s="18"/>
      <c r="AA12" s="18"/>
    </row>
    <row r="13" spans="2:27" x14ac:dyDescent="0.25">
      <c r="C13" s="131"/>
      <c r="D13" s="131"/>
      <c r="E13" s="19"/>
      <c r="F13" s="21"/>
      <c r="G13" s="29"/>
      <c r="H13" s="21"/>
      <c r="I13" s="19"/>
      <c r="J13" s="22"/>
      <c r="K13" s="22"/>
      <c r="L13" s="23"/>
      <c r="M13" s="22"/>
      <c r="N13" s="22"/>
      <c r="O13" s="23"/>
      <c r="P13" s="22"/>
      <c r="Q13" s="28"/>
      <c r="R13" s="22"/>
      <c r="S13" s="18"/>
      <c r="T13" s="18"/>
      <c r="U13" s="18"/>
      <c r="V13" s="18"/>
      <c r="W13" s="18"/>
      <c r="X13" s="18"/>
      <c r="Y13" s="18"/>
      <c r="Z13" s="18"/>
      <c r="AA13" s="18"/>
    </row>
    <row r="14" spans="2:27" x14ac:dyDescent="0.25">
      <c r="C14" s="131"/>
      <c r="D14" s="131"/>
      <c r="E14" s="19"/>
      <c r="F14" s="21"/>
      <c r="G14" s="29"/>
      <c r="H14" s="21"/>
      <c r="I14" s="19"/>
      <c r="J14" s="22"/>
      <c r="K14" s="24" t="s">
        <v>57</v>
      </c>
      <c r="L14" s="23"/>
      <c r="M14" s="22"/>
      <c r="N14" s="24" t="s">
        <v>58</v>
      </c>
      <c r="O14" s="23"/>
      <c r="P14" s="22"/>
      <c r="Q14" s="28"/>
      <c r="R14" s="22"/>
      <c r="S14" s="18"/>
      <c r="T14" s="18" t="s">
        <v>36</v>
      </c>
      <c r="U14" s="18"/>
      <c r="V14" s="18"/>
      <c r="W14" s="18"/>
      <c r="X14" s="18"/>
      <c r="Y14" s="18"/>
      <c r="Z14" s="18"/>
      <c r="AA14" s="18"/>
    </row>
    <row r="15" spans="2:27" x14ac:dyDescent="0.25">
      <c r="C15" s="131"/>
      <c r="D15" s="131"/>
      <c r="E15" s="19"/>
      <c r="F15" s="21"/>
      <c r="G15" s="19"/>
      <c r="H15" s="21"/>
      <c r="I15" s="19"/>
      <c r="J15" s="22"/>
      <c r="K15" s="26" t="s">
        <v>54</v>
      </c>
      <c r="L15" s="23"/>
      <c r="M15" s="22"/>
      <c r="N15" s="26" t="s">
        <v>59</v>
      </c>
      <c r="O15" s="23"/>
      <c r="P15" s="22"/>
      <c r="Q15" s="28"/>
      <c r="R15" s="22"/>
      <c r="S15" s="18"/>
      <c r="T15" s="18"/>
      <c r="U15" s="18"/>
      <c r="V15" s="18"/>
      <c r="W15" s="18"/>
      <c r="X15" s="18"/>
      <c r="Y15" s="18"/>
      <c r="Z15" s="18"/>
      <c r="AA15" s="18"/>
    </row>
    <row r="16" spans="2:27" x14ac:dyDescent="0.25">
      <c r="C16" s="131"/>
      <c r="D16" s="131"/>
      <c r="E16" s="19"/>
      <c r="F16" s="21"/>
      <c r="G16" s="19"/>
      <c r="H16" s="21"/>
      <c r="I16" s="19"/>
      <c r="J16" s="22"/>
      <c r="K16" s="22"/>
      <c r="L16" s="23"/>
      <c r="M16" s="22"/>
      <c r="N16" s="36"/>
      <c r="O16" s="23"/>
      <c r="P16" s="22"/>
      <c r="Q16" s="28"/>
      <c r="R16" s="22"/>
      <c r="S16" s="18"/>
      <c r="T16" s="18"/>
      <c r="U16" s="18"/>
      <c r="V16" s="18"/>
      <c r="W16" s="18"/>
      <c r="X16" s="18"/>
      <c r="Y16" s="18"/>
      <c r="Z16" s="18"/>
      <c r="AA16" s="18"/>
    </row>
    <row r="17" spans="3:27" x14ac:dyDescent="0.25">
      <c r="C17" s="131"/>
      <c r="D17" s="131"/>
      <c r="E17" s="19"/>
      <c r="F17" s="21"/>
      <c r="G17" s="19"/>
      <c r="H17" s="21"/>
      <c r="I17" s="19"/>
      <c r="J17" s="22"/>
      <c r="K17" s="22"/>
      <c r="L17" s="23"/>
      <c r="M17" s="22"/>
      <c r="N17" s="36"/>
      <c r="O17" s="23"/>
      <c r="P17" s="22"/>
      <c r="Q17" s="28"/>
      <c r="R17" s="22"/>
      <c r="S17" s="18"/>
      <c r="T17" s="18"/>
      <c r="U17" s="18"/>
      <c r="V17" s="18"/>
      <c r="W17" s="18"/>
      <c r="X17" s="18"/>
      <c r="Y17" s="18"/>
      <c r="Z17" s="18"/>
      <c r="AA17" s="18"/>
    </row>
    <row r="18" spans="3:27" x14ac:dyDescent="0.25">
      <c r="C18" s="131"/>
      <c r="D18" s="131"/>
      <c r="E18" s="19"/>
      <c r="F18" s="21"/>
      <c r="G18" s="19"/>
      <c r="H18" s="21"/>
      <c r="I18" s="19"/>
      <c r="J18" s="22"/>
      <c r="K18" s="22"/>
      <c r="L18" s="23"/>
      <c r="M18" s="22"/>
      <c r="N18" s="36"/>
      <c r="O18" s="23"/>
      <c r="P18" s="22"/>
      <c r="Q18" s="28"/>
      <c r="R18" s="22"/>
      <c r="S18" s="18"/>
      <c r="T18" s="18"/>
      <c r="U18" s="18"/>
      <c r="V18" s="18"/>
      <c r="W18" s="18"/>
      <c r="X18" s="18"/>
      <c r="Y18" s="18"/>
      <c r="Z18" s="18"/>
      <c r="AA18" s="18"/>
    </row>
    <row r="19" spans="3:27" x14ac:dyDescent="0.25">
      <c r="C19" s="131"/>
      <c r="D19" s="132"/>
      <c r="E19" s="31"/>
      <c r="F19" s="32"/>
      <c r="G19" s="31"/>
      <c r="H19" s="32"/>
      <c r="I19" s="31"/>
      <c r="J19" s="33"/>
      <c r="K19" s="33"/>
      <c r="L19" s="34"/>
      <c r="M19" s="33"/>
      <c r="N19" s="33"/>
      <c r="O19" s="34"/>
      <c r="P19" s="33"/>
      <c r="Q19" s="35"/>
      <c r="R19" s="33"/>
      <c r="S19" s="18"/>
      <c r="T19" s="18"/>
      <c r="U19" s="18"/>
      <c r="V19" s="18"/>
      <c r="W19" s="18"/>
      <c r="X19" s="18"/>
      <c r="Y19" s="18"/>
      <c r="Z19" s="18"/>
      <c r="AA19" s="18"/>
    </row>
    <row r="20" spans="3:27" x14ac:dyDescent="0.25">
      <c r="C20" s="131"/>
      <c r="D20" s="133" t="s">
        <v>39</v>
      </c>
      <c r="E20" s="19"/>
      <c r="F20" s="21"/>
      <c r="G20" s="19"/>
      <c r="H20" s="21"/>
      <c r="I20" s="19"/>
      <c r="J20" s="22"/>
      <c r="K20" s="22"/>
      <c r="L20" s="23"/>
      <c r="M20" s="22"/>
      <c r="N20" s="22"/>
      <c r="O20" s="23"/>
      <c r="P20" s="22"/>
      <c r="Q20" s="28"/>
      <c r="R20" s="22"/>
      <c r="S20" s="18"/>
      <c r="T20" s="18"/>
      <c r="U20" s="18"/>
      <c r="V20" s="18"/>
      <c r="W20" s="18"/>
      <c r="X20" s="18"/>
      <c r="Y20" s="18"/>
      <c r="Z20" s="18"/>
      <c r="AA20" s="18"/>
    </row>
    <row r="21" spans="3:27" x14ac:dyDescent="0.25">
      <c r="C21" s="131"/>
      <c r="D21" s="131"/>
      <c r="E21" s="19" t="s">
        <v>40</v>
      </c>
      <c r="F21" s="21" t="s">
        <v>77</v>
      </c>
      <c r="G21" s="19" t="s">
        <v>81</v>
      </c>
      <c r="H21" s="21" t="s">
        <v>89</v>
      </c>
      <c r="I21" s="19" t="s">
        <v>95</v>
      </c>
      <c r="J21" s="22"/>
      <c r="K21" s="36" t="s">
        <v>98</v>
      </c>
      <c r="L21" s="23"/>
      <c r="M21" s="22"/>
      <c r="N21" s="22"/>
      <c r="O21" s="23"/>
      <c r="P21" s="22"/>
      <c r="Q21" s="28" t="s">
        <v>43</v>
      </c>
      <c r="R21" s="22"/>
      <c r="S21" s="18"/>
      <c r="T21" s="18"/>
      <c r="U21" s="18"/>
      <c r="V21" s="18"/>
      <c r="W21" s="18"/>
      <c r="X21" s="18"/>
      <c r="Y21" s="18"/>
      <c r="Z21" s="18"/>
      <c r="AA21" s="18"/>
    </row>
    <row r="22" spans="3:27" x14ac:dyDescent="0.25">
      <c r="C22" s="131"/>
      <c r="D22" s="131"/>
      <c r="E22" s="19" t="s">
        <v>44</v>
      </c>
      <c r="F22" s="21" t="s">
        <v>78</v>
      </c>
      <c r="G22" s="19" t="s">
        <v>82</v>
      </c>
      <c r="H22" s="21" t="s">
        <v>90</v>
      </c>
      <c r="I22" s="19" t="s">
        <v>96</v>
      </c>
      <c r="J22" s="22"/>
      <c r="K22" s="36" t="s">
        <v>99</v>
      </c>
      <c r="L22" s="23"/>
      <c r="M22" s="22"/>
      <c r="N22" s="22"/>
      <c r="O22" s="23"/>
      <c r="P22" s="22"/>
      <c r="Q22" s="28"/>
      <c r="R22" s="22"/>
      <c r="S22" s="18"/>
      <c r="T22" s="18"/>
      <c r="U22" s="18"/>
      <c r="V22" s="18"/>
      <c r="W22" s="18"/>
      <c r="X22" s="18"/>
      <c r="Y22" s="18"/>
      <c r="Z22" s="18"/>
      <c r="AA22" s="18"/>
    </row>
    <row r="23" spans="3:27" x14ac:dyDescent="0.25">
      <c r="C23" s="131"/>
      <c r="D23" s="131"/>
      <c r="E23" s="19" t="s">
        <v>48</v>
      </c>
      <c r="F23" s="21" t="s">
        <v>79</v>
      </c>
      <c r="G23" s="19" t="s">
        <v>83</v>
      </c>
      <c r="H23" s="21" t="s">
        <v>91</v>
      </c>
      <c r="I23" s="19" t="s">
        <v>97</v>
      </c>
      <c r="J23" s="22"/>
      <c r="K23" s="22"/>
      <c r="L23" s="23"/>
      <c r="M23" s="22"/>
      <c r="N23" s="22"/>
      <c r="O23" s="23"/>
      <c r="P23" s="22"/>
      <c r="Q23" s="28" t="s">
        <v>50</v>
      </c>
      <c r="R23" s="22"/>
      <c r="S23" s="18"/>
      <c r="T23" s="18"/>
      <c r="U23" s="18"/>
      <c r="V23" s="18"/>
      <c r="W23" s="18"/>
      <c r="X23" s="18"/>
      <c r="Y23" s="18"/>
      <c r="Z23" s="18"/>
      <c r="AA23" s="18"/>
    </row>
    <row r="24" spans="3:27" x14ac:dyDescent="0.25">
      <c r="C24" s="131"/>
      <c r="D24" s="131"/>
      <c r="E24" s="19" t="s">
        <v>51</v>
      </c>
      <c r="F24" s="21" t="s">
        <v>80</v>
      </c>
      <c r="G24" s="19" t="s">
        <v>84</v>
      </c>
      <c r="H24" s="21" t="s">
        <v>92</v>
      </c>
      <c r="I24" s="19"/>
      <c r="J24" s="22"/>
      <c r="K24" s="22"/>
      <c r="L24" s="23"/>
      <c r="M24" s="22"/>
      <c r="N24" s="22"/>
      <c r="O24" s="23"/>
      <c r="P24" s="22"/>
      <c r="Q24" s="28"/>
      <c r="R24" s="22"/>
      <c r="S24" s="18"/>
      <c r="T24" s="18"/>
      <c r="U24" s="18"/>
      <c r="V24" s="18"/>
      <c r="W24" s="18"/>
      <c r="X24" s="18"/>
      <c r="Y24" s="18"/>
      <c r="Z24" s="18"/>
      <c r="AA24" s="18"/>
    </row>
    <row r="25" spans="3:27" x14ac:dyDescent="0.25">
      <c r="C25" s="132"/>
      <c r="D25" s="132"/>
      <c r="E25" s="31"/>
      <c r="F25" s="32"/>
      <c r="G25" s="31"/>
      <c r="H25" s="32"/>
      <c r="I25" s="31"/>
      <c r="J25" s="33"/>
      <c r="K25" s="33"/>
      <c r="L25" s="34"/>
      <c r="M25" s="33"/>
      <c r="N25" s="33"/>
      <c r="O25" s="34"/>
      <c r="P25" s="33"/>
      <c r="Q25" s="33"/>
      <c r="R25" s="33"/>
      <c r="S25" s="18"/>
      <c r="T25" s="18"/>
      <c r="U25" s="18"/>
      <c r="V25" s="18"/>
      <c r="W25" s="18"/>
      <c r="X25" s="18"/>
      <c r="Y25" s="18"/>
      <c r="Z25" s="18"/>
      <c r="AA25" s="18"/>
    </row>
  </sheetData>
  <mergeCells count="3">
    <mergeCell ref="C5:C25"/>
    <mergeCell ref="D5:D19"/>
    <mergeCell ref="D20:D25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3"/>
  </sheetPr>
  <dimension ref="B2:AA26"/>
  <sheetViews>
    <sheetView showGridLines="0" zoomScale="115" zoomScaleNormal="115" workbookViewId="0">
      <selection activeCell="K4" sqref="K4"/>
    </sheetView>
  </sheetViews>
  <sheetFormatPr baseColWidth="10" defaultRowHeight="15" x14ac:dyDescent="0.25"/>
  <cols>
    <col min="1" max="1" width="4.7109375" customWidth="1"/>
    <col min="2" max="2" width="2.85546875" customWidth="1"/>
    <col min="3" max="3" width="14.7109375" customWidth="1"/>
    <col min="5" max="5" width="19" customWidth="1"/>
    <col min="6" max="6" width="30.28515625" customWidth="1"/>
    <col min="7" max="7" width="23" bestFit="1" customWidth="1"/>
    <col min="8" max="8" width="31.85546875" customWidth="1"/>
    <col min="9" max="9" width="34.28515625" customWidth="1"/>
    <col min="10" max="10" width="1.7109375" style="37" customWidth="1"/>
    <col min="11" max="11" width="23.140625" customWidth="1"/>
    <col min="12" max="13" width="1.7109375" style="37" customWidth="1"/>
    <col min="14" max="14" width="44.7109375" customWidth="1"/>
    <col min="15" max="16" width="1.7109375" style="37" customWidth="1"/>
    <col min="17" max="17" width="44.7109375" customWidth="1"/>
    <col min="18" max="18" width="1.7109375" style="37" customWidth="1"/>
    <col min="19" max="19" width="1" customWidth="1"/>
  </cols>
  <sheetData>
    <row r="2" spans="2:27" x14ac:dyDescent="0.25">
      <c r="B2" s="48"/>
      <c r="C2" s="50" t="s">
        <v>179</v>
      </c>
      <c r="D2" s="49"/>
      <c r="E2" s="49"/>
      <c r="F2" s="49"/>
      <c r="G2" s="49"/>
      <c r="H2" s="49"/>
    </row>
    <row r="4" spans="2:27" x14ac:dyDescent="0.25">
      <c r="C4" s="1" t="s">
        <v>0</v>
      </c>
      <c r="D4" s="1" t="s">
        <v>1</v>
      </c>
      <c r="E4" s="2" t="s">
        <v>2</v>
      </c>
      <c r="F4" s="2"/>
      <c r="G4" s="2"/>
      <c r="H4" s="2"/>
      <c r="I4" s="2"/>
      <c r="J4" s="3"/>
      <c r="K4" s="3" t="s">
        <v>3</v>
      </c>
      <c r="L4" s="3"/>
      <c r="M4" s="3"/>
      <c r="N4" s="3"/>
      <c r="O4" s="3"/>
      <c r="P4" s="3"/>
      <c r="Q4" s="3"/>
      <c r="R4" s="3"/>
      <c r="S4" s="4"/>
      <c r="T4" s="4" t="s">
        <v>4</v>
      </c>
      <c r="U4" s="5"/>
      <c r="V4" s="5"/>
      <c r="W4" s="5"/>
      <c r="X4" s="5"/>
      <c r="Y4" s="5"/>
      <c r="Z4" s="5"/>
      <c r="AA4" s="5"/>
    </row>
    <row r="5" spans="2:27" x14ac:dyDescent="0.25">
      <c r="C5" s="135" t="s">
        <v>100</v>
      </c>
      <c r="D5" s="131" t="s">
        <v>6</v>
      </c>
      <c r="E5" s="6" t="s">
        <v>7</v>
      </c>
      <c r="F5" s="7" t="s">
        <v>101</v>
      </c>
      <c r="G5" s="8" t="s">
        <v>108</v>
      </c>
      <c r="H5" s="7" t="s">
        <v>109</v>
      </c>
      <c r="I5" s="8" t="s">
        <v>8</v>
      </c>
      <c r="J5" s="9"/>
      <c r="K5" s="9" t="s">
        <v>12</v>
      </c>
      <c r="L5" s="10"/>
      <c r="M5" s="9"/>
      <c r="N5" s="9" t="s">
        <v>13</v>
      </c>
      <c r="O5" s="10"/>
      <c r="P5" s="9"/>
      <c r="Q5" s="9" t="s">
        <v>14</v>
      </c>
      <c r="R5" s="9"/>
      <c r="S5" s="11"/>
      <c r="T5" s="11"/>
      <c r="U5" s="11"/>
      <c r="V5" s="11"/>
      <c r="W5" s="11"/>
      <c r="X5" s="11"/>
      <c r="Y5" s="11"/>
      <c r="Z5" s="11"/>
      <c r="AA5" s="11"/>
    </row>
    <row r="6" spans="2:27" x14ac:dyDescent="0.25">
      <c r="C6" s="131"/>
      <c r="D6" s="131"/>
      <c r="E6" s="13"/>
      <c r="F6" s="14"/>
      <c r="G6" s="15"/>
      <c r="H6" s="14"/>
      <c r="I6" s="15"/>
      <c r="J6" s="16"/>
      <c r="K6" s="16"/>
      <c r="L6" s="17"/>
      <c r="M6" s="16"/>
      <c r="N6" s="16"/>
      <c r="O6" s="17"/>
      <c r="P6" s="16"/>
      <c r="Q6" s="16"/>
      <c r="R6" s="16"/>
      <c r="S6" s="11"/>
      <c r="T6" s="18" t="s">
        <v>17</v>
      </c>
      <c r="U6" s="11"/>
      <c r="V6" s="11"/>
      <c r="W6" s="11"/>
      <c r="X6" s="11"/>
      <c r="Y6" s="11"/>
      <c r="Z6" s="11"/>
      <c r="AA6" s="11"/>
    </row>
    <row r="7" spans="2:27" x14ac:dyDescent="0.25">
      <c r="C7" s="131"/>
      <c r="D7" s="131"/>
      <c r="E7" s="19"/>
      <c r="F7" s="20"/>
      <c r="G7" s="19"/>
      <c r="H7" s="21"/>
      <c r="I7" s="19"/>
      <c r="J7" s="22"/>
      <c r="K7" s="22"/>
      <c r="L7" s="23"/>
      <c r="M7" s="22"/>
      <c r="N7" s="22"/>
      <c r="O7" s="23"/>
      <c r="P7" s="22"/>
      <c r="Q7" s="22"/>
      <c r="R7" s="22"/>
      <c r="S7" s="18"/>
      <c r="T7" s="18"/>
      <c r="U7" s="18"/>
      <c r="V7" s="18"/>
      <c r="W7" s="18"/>
      <c r="X7" s="18"/>
      <c r="Y7" s="18"/>
      <c r="Z7" s="18"/>
      <c r="AA7" s="18"/>
    </row>
    <row r="8" spans="2:27" x14ac:dyDescent="0.25">
      <c r="C8" s="131"/>
      <c r="D8" s="131"/>
      <c r="E8" s="19"/>
      <c r="F8" s="21"/>
      <c r="G8" s="19"/>
      <c r="H8" s="21"/>
      <c r="I8" s="19"/>
      <c r="J8" s="22"/>
      <c r="K8" s="24" t="s">
        <v>55</v>
      </c>
      <c r="L8" s="23"/>
      <c r="M8" s="22"/>
      <c r="N8" s="24" t="s">
        <v>19</v>
      </c>
      <c r="O8" s="23"/>
      <c r="P8" s="22"/>
      <c r="Q8" s="25" t="s">
        <v>20</v>
      </c>
      <c r="R8" s="22"/>
      <c r="S8" s="18"/>
      <c r="T8" s="18" t="s">
        <v>21</v>
      </c>
      <c r="U8" s="18"/>
      <c r="V8" s="18"/>
      <c r="W8" s="18"/>
      <c r="X8" s="18"/>
      <c r="Y8" s="18"/>
      <c r="Z8" s="18"/>
      <c r="AA8" s="18"/>
    </row>
    <row r="9" spans="2:27" x14ac:dyDescent="0.25">
      <c r="C9" s="131"/>
      <c r="D9" s="131"/>
      <c r="E9" s="19"/>
      <c r="F9" s="21"/>
      <c r="G9" s="19"/>
      <c r="H9" s="21"/>
      <c r="I9" s="19"/>
      <c r="J9" s="22"/>
      <c r="K9" s="26" t="s">
        <v>54</v>
      </c>
      <c r="L9" s="23"/>
      <c r="M9" s="22"/>
      <c r="N9" s="26" t="s">
        <v>23</v>
      </c>
      <c r="O9" s="23"/>
      <c r="P9" s="22"/>
      <c r="Q9" s="27" t="s">
        <v>24</v>
      </c>
      <c r="R9" s="22"/>
      <c r="S9" s="18"/>
      <c r="T9" s="18"/>
      <c r="U9" s="18"/>
      <c r="V9" s="18"/>
      <c r="W9" s="18"/>
      <c r="X9" s="18"/>
      <c r="Y9" s="18"/>
      <c r="Z9" s="18"/>
      <c r="AA9" s="18"/>
    </row>
    <row r="10" spans="2:27" x14ac:dyDescent="0.25">
      <c r="C10" s="131"/>
      <c r="D10" s="131"/>
      <c r="E10" s="19"/>
      <c r="F10" s="21"/>
      <c r="G10" s="19"/>
      <c r="H10" s="21"/>
      <c r="I10" s="19"/>
      <c r="J10" s="22"/>
      <c r="K10" s="22"/>
      <c r="L10" s="23"/>
      <c r="M10" s="22"/>
      <c r="N10" s="22"/>
      <c r="O10" s="23"/>
      <c r="P10" s="22"/>
      <c r="Q10" s="28"/>
      <c r="R10" s="22"/>
      <c r="S10" s="18"/>
      <c r="T10" s="18" t="s">
        <v>27</v>
      </c>
      <c r="U10" s="18"/>
      <c r="V10" s="18"/>
      <c r="W10" s="18"/>
      <c r="X10" s="18"/>
      <c r="Y10" s="18"/>
      <c r="Z10" s="18"/>
      <c r="AA10" s="18"/>
    </row>
    <row r="11" spans="2:27" x14ac:dyDescent="0.25">
      <c r="C11" s="131"/>
      <c r="D11" s="131"/>
      <c r="E11" s="19"/>
      <c r="F11" s="21"/>
      <c r="G11" s="29"/>
      <c r="H11" s="21"/>
      <c r="I11" s="19"/>
      <c r="J11" s="22"/>
      <c r="K11" s="24" t="s">
        <v>56</v>
      </c>
      <c r="L11" s="23"/>
      <c r="M11" s="22"/>
      <c r="N11" s="24" t="s">
        <v>29</v>
      </c>
      <c r="O11" s="23"/>
      <c r="P11" s="22"/>
      <c r="Q11" s="25" t="s">
        <v>23</v>
      </c>
      <c r="R11" s="22"/>
      <c r="S11" s="18"/>
      <c r="T11" s="18"/>
      <c r="U11" s="18"/>
      <c r="V11" s="18"/>
      <c r="W11" s="18"/>
      <c r="X11" s="18"/>
      <c r="Y11" s="18"/>
      <c r="Z11" s="18"/>
      <c r="AA11" s="18"/>
    </row>
    <row r="12" spans="2:27" x14ac:dyDescent="0.25">
      <c r="C12" s="131"/>
      <c r="D12" s="131"/>
      <c r="E12" s="19"/>
      <c r="F12" s="21"/>
      <c r="G12" s="29"/>
      <c r="H12" s="21"/>
      <c r="I12" s="19"/>
      <c r="J12" s="22"/>
      <c r="K12" s="26" t="s">
        <v>54</v>
      </c>
      <c r="L12" s="23"/>
      <c r="M12" s="22"/>
      <c r="N12" s="26" t="s">
        <v>23</v>
      </c>
      <c r="O12" s="23"/>
      <c r="P12" s="22"/>
      <c r="Q12" s="28" t="s">
        <v>31</v>
      </c>
      <c r="R12" s="22"/>
      <c r="S12" s="18"/>
      <c r="T12" s="18" t="s">
        <v>32</v>
      </c>
      <c r="U12" s="18"/>
      <c r="V12" s="18"/>
      <c r="W12" s="18"/>
      <c r="X12" s="18"/>
      <c r="Y12" s="18"/>
      <c r="Z12" s="18"/>
      <c r="AA12" s="18"/>
    </row>
    <row r="13" spans="2:27" x14ac:dyDescent="0.25">
      <c r="C13" s="131"/>
      <c r="D13" s="131"/>
      <c r="E13" s="19"/>
      <c r="F13" s="21"/>
      <c r="G13" s="29"/>
      <c r="H13" s="21"/>
      <c r="I13" s="19"/>
      <c r="J13" s="22"/>
      <c r="K13" s="22"/>
      <c r="L13" s="23"/>
      <c r="M13" s="22"/>
      <c r="N13" s="22"/>
      <c r="O13" s="23"/>
      <c r="P13" s="22"/>
      <c r="Q13" s="28"/>
      <c r="R13" s="22"/>
      <c r="S13" s="18"/>
      <c r="T13" s="18"/>
      <c r="U13" s="18"/>
      <c r="V13" s="18"/>
      <c r="W13" s="18"/>
      <c r="X13" s="18"/>
      <c r="Y13" s="18"/>
      <c r="Z13" s="18"/>
      <c r="AA13" s="18"/>
    </row>
    <row r="14" spans="2:27" x14ac:dyDescent="0.25">
      <c r="C14" s="131"/>
      <c r="D14" s="131"/>
      <c r="E14" s="19"/>
      <c r="F14" s="21"/>
      <c r="G14" s="29"/>
      <c r="H14" s="21"/>
      <c r="I14" s="19"/>
      <c r="J14" s="22"/>
      <c r="K14" s="22"/>
      <c r="L14" s="23"/>
      <c r="M14" s="22"/>
      <c r="N14" s="24" t="s">
        <v>58</v>
      </c>
      <c r="O14" s="23"/>
      <c r="P14" s="22"/>
      <c r="Q14" s="25" t="s">
        <v>35</v>
      </c>
      <c r="R14" s="22"/>
      <c r="S14" s="18"/>
      <c r="T14" s="18" t="s">
        <v>36</v>
      </c>
      <c r="U14" s="18"/>
      <c r="V14" s="18"/>
      <c r="W14" s="18"/>
      <c r="X14" s="18"/>
      <c r="Y14" s="18"/>
      <c r="Z14" s="18"/>
      <c r="AA14" s="18"/>
    </row>
    <row r="15" spans="2:27" x14ac:dyDescent="0.25">
      <c r="C15" s="131"/>
      <c r="D15" s="131"/>
      <c r="E15" s="19"/>
      <c r="F15" s="21"/>
      <c r="G15" s="19"/>
      <c r="H15" s="21"/>
      <c r="I15" s="19"/>
      <c r="J15" s="22"/>
      <c r="K15" s="22"/>
      <c r="L15" s="23"/>
      <c r="M15" s="22"/>
      <c r="N15" s="26" t="s">
        <v>59</v>
      </c>
      <c r="O15" s="23"/>
      <c r="P15" s="22"/>
      <c r="Q15" s="28" t="s">
        <v>38</v>
      </c>
      <c r="R15" s="22"/>
      <c r="S15" s="18"/>
      <c r="T15" s="18"/>
      <c r="U15" s="18"/>
      <c r="V15" s="18"/>
      <c r="W15" s="18"/>
      <c r="X15" s="18"/>
      <c r="Y15" s="18"/>
      <c r="Z15" s="18"/>
      <c r="AA15" s="18"/>
    </row>
    <row r="16" spans="2:27" x14ac:dyDescent="0.25">
      <c r="C16" s="131"/>
      <c r="D16" s="131"/>
      <c r="E16" s="19"/>
      <c r="F16" s="21"/>
      <c r="G16" s="19"/>
      <c r="H16" s="21"/>
      <c r="I16" s="19"/>
      <c r="J16" s="22"/>
      <c r="K16" s="22"/>
      <c r="L16" s="23"/>
      <c r="M16" s="22"/>
      <c r="N16" s="36"/>
      <c r="O16" s="23"/>
      <c r="P16" s="22"/>
      <c r="Q16" s="28"/>
      <c r="R16" s="22"/>
      <c r="S16" s="18"/>
      <c r="T16" s="18"/>
      <c r="U16" s="18"/>
      <c r="V16" s="18"/>
      <c r="W16" s="18"/>
      <c r="X16" s="18"/>
      <c r="Y16" s="18"/>
      <c r="Z16" s="18"/>
      <c r="AA16" s="18"/>
    </row>
    <row r="17" spans="3:27" x14ac:dyDescent="0.25">
      <c r="C17" s="131"/>
      <c r="D17" s="131"/>
      <c r="E17" s="19"/>
      <c r="F17" s="21"/>
      <c r="G17" s="19"/>
      <c r="H17" s="21"/>
      <c r="I17" s="19"/>
      <c r="J17" s="22"/>
      <c r="K17" s="22"/>
      <c r="L17" s="23"/>
      <c r="M17" s="22"/>
      <c r="N17" s="24" t="s">
        <v>19</v>
      </c>
      <c r="O17" s="23"/>
      <c r="P17" s="22"/>
      <c r="Q17" s="28"/>
      <c r="R17" s="22"/>
      <c r="S17" s="18"/>
      <c r="T17" s="18"/>
      <c r="U17" s="18"/>
      <c r="V17" s="18"/>
      <c r="W17" s="18"/>
      <c r="X17" s="18"/>
      <c r="Y17" s="18"/>
      <c r="Z17" s="18"/>
      <c r="AA17" s="18"/>
    </row>
    <row r="18" spans="3:27" x14ac:dyDescent="0.25">
      <c r="C18" s="131"/>
      <c r="D18" s="131"/>
      <c r="E18" s="19"/>
      <c r="F18" s="21"/>
      <c r="G18" s="19"/>
      <c r="H18" s="21"/>
      <c r="I18" s="19"/>
      <c r="J18" s="22"/>
      <c r="K18" s="22"/>
      <c r="L18" s="23"/>
      <c r="M18" s="22"/>
      <c r="N18" s="26" t="s">
        <v>37</v>
      </c>
      <c r="O18" s="23"/>
      <c r="P18" s="22"/>
      <c r="Q18" s="28"/>
      <c r="R18" s="22"/>
      <c r="S18" s="18"/>
      <c r="T18" s="18"/>
      <c r="U18" s="18"/>
      <c r="V18" s="18"/>
      <c r="W18" s="18"/>
      <c r="X18" s="18"/>
      <c r="Y18" s="18"/>
      <c r="Z18" s="18"/>
      <c r="AA18" s="18"/>
    </row>
    <row r="19" spans="3:27" x14ac:dyDescent="0.25">
      <c r="C19" s="131"/>
      <c r="D19" s="132"/>
      <c r="E19" s="31"/>
      <c r="F19" s="32"/>
      <c r="G19" s="31"/>
      <c r="H19" s="32"/>
      <c r="I19" s="31"/>
      <c r="J19" s="33"/>
      <c r="K19" s="33"/>
      <c r="L19" s="34"/>
      <c r="M19" s="33"/>
      <c r="N19" s="33"/>
      <c r="O19" s="34"/>
      <c r="P19" s="33"/>
      <c r="Q19" s="35"/>
      <c r="R19" s="33"/>
      <c r="S19" s="18"/>
      <c r="T19" s="18"/>
      <c r="U19" s="18"/>
      <c r="V19" s="18"/>
      <c r="W19" s="18"/>
      <c r="X19" s="18"/>
      <c r="Y19" s="18"/>
      <c r="Z19" s="18"/>
      <c r="AA19" s="18"/>
    </row>
    <row r="20" spans="3:27" x14ac:dyDescent="0.25">
      <c r="C20" s="131"/>
      <c r="D20" s="133" t="s">
        <v>39</v>
      </c>
      <c r="E20" s="19"/>
      <c r="F20" s="21"/>
      <c r="G20" s="19"/>
      <c r="H20" s="21"/>
      <c r="I20" s="19"/>
      <c r="J20" s="22"/>
      <c r="K20" s="22"/>
      <c r="L20" s="23"/>
      <c r="M20" s="22"/>
      <c r="N20" s="22"/>
      <c r="O20" s="23"/>
      <c r="P20" s="22"/>
      <c r="Q20" s="28"/>
      <c r="R20" s="22"/>
      <c r="S20" s="18"/>
      <c r="T20" s="18"/>
      <c r="U20" s="18"/>
      <c r="V20" s="18"/>
      <c r="W20" s="18"/>
      <c r="X20" s="18"/>
      <c r="Y20" s="18"/>
      <c r="Z20" s="18"/>
      <c r="AA20" s="18"/>
    </row>
    <row r="21" spans="3:27" x14ac:dyDescent="0.25">
      <c r="C21" s="131"/>
      <c r="D21" s="131"/>
      <c r="E21" s="19" t="s">
        <v>40</v>
      </c>
      <c r="F21" s="21" t="s">
        <v>102</v>
      </c>
      <c r="G21" s="19" t="s">
        <v>104</v>
      </c>
      <c r="H21" s="21" t="s">
        <v>110</v>
      </c>
      <c r="I21" s="19" t="s">
        <v>84</v>
      </c>
      <c r="J21" s="22"/>
      <c r="K21" s="36" t="s">
        <v>98</v>
      </c>
      <c r="L21" s="23"/>
      <c r="M21" s="22"/>
      <c r="N21" s="22"/>
      <c r="O21" s="23"/>
      <c r="P21" s="22"/>
      <c r="Q21" s="28" t="s">
        <v>43</v>
      </c>
      <c r="R21" s="22"/>
      <c r="S21" s="18"/>
      <c r="T21" s="18"/>
      <c r="U21" s="18"/>
      <c r="V21" s="18"/>
      <c r="W21" s="18"/>
      <c r="X21" s="18"/>
      <c r="Y21" s="18"/>
      <c r="Z21" s="18"/>
      <c r="AA21" s="18"/>
    </row>
    <row r="22" spans="3:27" x14ac:dyDescent="0.25">
      <c r="C22" s="131"/>
      <c r="D22" s="131"/>
      <c r="E22" s="19" t="s">
        <v>44</v>
      </c>
      <c r="F22" s="21" t="s">
        <v>66</v>
      </c>
      <c r="G22" s="19" t="s">
        <v>105</v>
      </c>
      <c r="H22" s="21" t="s">
        <v>111</v>
      </c>
      <c r="I22" s="19" t="s">
        <v>113</v>
      </c>
      <c r="J22" s="22"/>
      <c r="K22" s="36" t="s">
        <v>99</v>
      </c>
      <c r="L22" s="23"/>
      <c r="M22" s="22"/>
      <c r="N22" s="22"/>
      <c r="O22" s="23"/>
      <c r="P22" s="22"/>
      <c r="Q22" s="28"/>
      <c r="R22" s="22"/>
      <c r="S22" s="18"/>
      <c r="T22" s="18"/>
      <c r="U22" s="18"/>
      <c r="V22" s="18"/>
      <c r="W22" s="18"/>
      <c r="X22" s="18"/>
      <c r="Y22" s="18"/>
      <c r="Z22" s="18"/>
      <c r="AA22" s="18"/>
    </row>
    <row r="23" spans="3:27" x14ac:dyDescent="0.25">
      <c r="C23" s="131"/>
      <c r="D23" s="131"/>
      <c r="E23" s="19" t="s">
        <v>48</v>
      </c>
      <c r="F23" s="21" t="s">
        <v>103</v>
      </c>
      <c r="G23" s="19"/>
      <c r="H23" s="21" t="s">
        <v>112</v>
      </c>
      <c r="I23" s="19"/>
      <c r="J23" s="22"/>
      <c r="K23" s="22"/>
      <c r="L23" s="23"/>
      <c r="M23" s="22"/>
      <c r="N23" s="22"/>
      <c r="O23" s="23"/>
      <c r="P23" s="22"/>
      <c r="Q23" s="28" t="s">
        <v>50</v>
      </c>
      <c r="R23" s="22"/>
      <c r="S23" s="18"/>
      <c r="T23" s="18"/>
      <c r="U23" s="18"/>
      <c r="V23" s="18"/>
      <c r="W23" s="18"/>
      <c r="X23" s="18"/>
      <c r="Y23" s="18"/>
      <c r="Z23" s="18"/>
      <c r="AA23" s="18"/>
    </row>
    <row r="24" spans="3:27" x14ac:dyDescent="0.25">
      <c r="C24" s="131"/>
      <c r="D24" s="131"/>
      <c r="E24" s="19" t="s">
        <v>51</v>
      </c>
      <c r="F24" s="21"/>
      <c r="G24" s="19" t="s">
        <v>106</v>
      </c>
      <c r="H24" s="21"/>
      <c r="I24" s="19"/>
      <c r="J24" s="22"/>
      <c r="K24" s="22"/>
      <c r="L24" s="23"/>
      <c r="M24" s="22"/>
      <c r="N24" s="22"/>
      <c r="O24" s="23"/>
      <c r="P24" s="22"/>
      <c r="Q24" s="28"/>
      <c r="R24" s="22"/>
      <c r="S24" s="18"/>
      <c r="T24" s="18"/>
      <c r="U24" s="18"/>
      <c r="V24" s="18"/>
      <c r="W24" s="18"/>
      <c r="X24" s="18"/>
      <c r="Y24" s="18"/>
      <c r="Z24" s="18"/>
      <c r="AA24" s="18"/>
    </row>
    <row r="25" spans="3:27" x14ac:dyDescent="0.25">
      <c r="C25" s="131"/>
      <c r="D25" s="131"/>
      <c r="E25" s="19"/>
      <c r="F25" s="21"/>
      <c r="G25" s="19" t="s">
        <v>107</v>
      </c>
      <c r="H25" s="21"/>
      <c r="I25" s="19"/>
      <c r="J25" s="22"/>
      <c r="K25" s="22"/>
      <c r="L25" s="23"/>
      <c r="M25" s="22"/>
      <c r="N25" s="22"/>
      <c r="O25" s="23"/>
      <c r="P25" s="22"/>
      <c r="Q25" s="28"/>
      <c r="R25" s="22"/>
      <c r="S25" s="18"/>
      <c r="T25" s="18"/>
      <c r="U25" s="18"/>
      <c r="V25" s="18"/>
      <c r="W25" s="18"/>
      <c r="X25" s="18"/>
      <c r="Y25" s="18"/>
      <c r="Z25" s="18"/>
      <c r="AA25" s="18"/>
    </row>
    <row r="26" spans="3:27" x14ac:dyDescent="0.25">
      <c r="C26" s="132"/>
      <c r="D26" s="132"/>
      <c r="E26" s="31"/>
      <c r="F26" s="32"/>
      <c r="G26" s="31"/>
      <c r="H26" s="32"/>
      <c r="I26" s="31"/>
      <c r="J26" s="33"/>
      <c r="K26" s="33"/>
      <c r="L26" s="34"/>
      <c r="M26" s="33"/>
      <c r="N26" s="33"/>
      <c r="O26" s="34"/>
      <c r="P26" s="33"/>
      <c r="Q26" s="33"/>
      <c r="R26" s="33"/>
      <c r="S26" s="18"/>
      <c r="T26" s="18"/>
      <c r="U26" s="18"/>
      <c r="V26" s="18"/>
      <c r="W26" s="18"/>
      <c r="X26" s="18"/>
      <c r="Y26" s="18"/>
      <c r="Z26" s="18"/>
      <c r="AA26" s="18"/>
    </row>
  </sheetData>
  <mergeCells count="3">
    <mergeCell ref="C5:C26"/>
    <mergeCell ref="D5:D19"/>
    <mergeCell ref="D20:D26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/>
  </sheetPr>
  <dimension ref="B2:S75"/>
  <sheetViews>
    <sheetView showGridLines="0" workbookViewId="0">
      <selection activeCell="G1" sqref="G1"/>
    </sheetView>
  </sheetViews>
  <sheetFormatPr baseColWidth="10" defaultRowHeight="15" x14ac:dyDescent="0.25"/>
  <cols>
    <col min="2" max="2" width="3.7109375" customWidth="1"/>
    <col min="3" max="3" width="2.85546875" customWidth="1"/>
    <col min="4" max="4" width="51.28515625" bestFit="1" customWidth="1"/>
    <col min="5" max="5" width="4" style="81" bestFit="1" customWidth="1"/>
    <col min="6" max="14" width="11.42578125" style="51"/>
    <col min="16" max="16" width="3.5703125" customWidth="1"/>
  </cols>
  <sheetData>
    <row r="2" spans="2:19" ht="16.5" customHeight="1" x14ac:dyDescent="0.25">
      <c r="B2" s="48"/>
      <c r="C2" s="50" t="s">
        <v>149</v>
      </c>
      <c r="D2" s="49"/>
      <c r="E2" s="82"/>
      <c r="F2" s="52"/>
      <c r="G2" s="52"/>
      <c r="H2" s="52"/>
      <c r="I2" s="52"/>
      <c r="J2" s="52"/>
      <c r="K2" s="52"/>
      <c r="L2" s="52"/>
      <c r="M2" s="52"/>
      <c r="N2" s="52"/>
    </row>
    <row r="3" spans="2:19" ht="16.5" customHeight="1" x14ac:dyDescent="0.25"/>
    <row r="4" spans="2:19" x14ac:dyDescent="0.25">
      <c r="F4" s="90">
        <v>2014</v>
      </c>
      <c r="G4" s="90">
        <f>F4+1</f>
        <v>2015</v>
      </c>
      <c r="H4" s="90">
        <f t="shared" ref="H4:L4" si="0">G4+1</f>
        <v>2016</v>
      </c>
      <c r="I4" s="90">
        <f t="shared" si="0"/>
        <v>2017</v>
      </c>
      <c r="J4" s="91">
        <f t="shared" si="0"/>
        <v>2018</v>
      </c>
      <c r="K4" s="90">
        <f t="shared" si="0"/>
        <v>2019</v>
      </c>
      <c r="L4" s="90">
        <f t="shared" si="0"/>
        <v>2020</v>
      </c>
      <c r="M4" s="90">
        <f t="shared" ref="M4:N4" si="1">L4+1</f>
        <v>2021</v>
      </c>
      <c r="N4" s="90">
        <f t="shared" si="1"/>
        <v>2022</v>
      </c>
    </row>
    <row r="5" spans="2:19" x14ac:dyDescent="0.25">
      <c r="C5" s="79"/>
      <c r="D5" s="84" t="s">
        <v>132</v>
      </c>
      <c r="E5" s="83"/>
      <c r="F5" s="92"/>
      <c r="G5" s="92"/>
      <c r="H5" s="92"/>
      <c r="I5" s="92"/>
      <c r="J5" s="93"/>
      <c r="K5" s="92"/>
      <c r="L5" s="92"/>
      <c r="M5" s="92"/>
      <c r="N5" s="92"/>
      <c r="P5" s="94"/>
      <c r="Q5" s="95" t="s">
        <v>174</v>
      </c>
      <c r="R5" s="38"/>
      <c r="S5" s="38"/>
    </row>
    <row r="6" spans="2:19" x14ac:dyDescent="0.25">
      <c r="D6" s="38" t="s">
        <v>133</v>
      </c>
      <c r="J6" s="65"/>
    </row>
    <row r="7" spans="2:19" x14ac:dyDescent="0.25">
      <c r="J7" s="65"/>
      <c r="P7" s="96"/>
      <c r="Q7" s="95" t="s">
        <v>175</v>
      </c>
    </row>
    <row r="8" spans="2:19" x14ac:dyDescent="0.25">
      <c r="D8" t="s">
        <v>156</v>
      </c>
      <c r="E8" s="81" t="s">
        <v>141</v>
      </c>
      <c r="F8" s="59"/>
      <c r="G8" s="59"/>
      <c r="H8" s="59"/>
      <c r="I8" s="59"/>
      <c r="J8" s="87"/>
      <c r="K8" s="59"/>
      <c r="L8" s="59"/>
      <c r="M8" s="59"/>
      <c r="N8" s="59"/>
    </row>
    <row r="9" spans="2:19" x14ac:dyDescent="0.25">
      <c r="D9" t="s">
        <v>145</v>
      </c>
      <c r="E9" s="81" t="s">
        <v>142</v>
      </c>
      <c r="F9" s="88"/>
      <c r="G9" s="88"/>
      <c r="H9" s="88"/>
      <c r="I9" s="88"/>
      <c r="J9" s="89"/>
      <c r="K9" s="88"/>
      <c r="L9" s="88"/>
      <c r="M9" s="88"/>
      <c r="N9" s="88"/>
    </row>
    <row r="10" spans="2:19" x14ac:dyDescent="0.25">
      <c r="D10" t="s">
        <v>146</v>
      </c>
      <c r="E10" s="81" t="s">
        <v>142</v>
      </c>
      <c r="F10" s="88"/>
      <c r="G10" s="88"/>
      <c r="H10" s="88"/>
      <c r="I10" s="88"/>
      <c r="J10" s="89"/>
      <c r="K10" s="88"/>
      <c r="L10" s="88"/>
      <c r="M10" s="88"/>
      <c r="N10" s="88"/>
    </row>
    <row r="11" spans="2:19" x14ac:dyDescent="0.25">
      <c r="D11" t="s">
        <v>143</v>
      </c>
      <c r="E11" s="81" t="s">
        <v>142</v>
      </c>
      <c r="F11" s="88"/>
      <c r="G11" s="88"/>
      <c r="H11" s="88"/>
      <c r="I11" s="88"/>
      <c r="J11" s="89"/>
      <c r="K11" s="88"/>
      <c r="L11" s="88"/>
      <c r="M11" s="88"/>
      <c r="N11" s="88"/>
    </row>
    <row r="12" spans="2:19" x14ac:dyDescent="0.25">
      <c r="D12" t="s">
        <v>144</v>
      </c>
      <c r="E12" s="81" t="s">
        <v>142</v>
      </c>
      <c r="F12" s="88"/>
      <c r="G12" s="88"/>
      <c r="H12" s="88"/>
      <c r="I12" s="88"/>
      <c r="J12" s="89"/>
      <c r="K12" s="88"/>
      <c r="L12" s="88"/>
      <c r="M12" s="88"/>
      <c r="N12" s="88"/>
    </row>
    <row r="13" spans="2:19" x14ac:dyDescent="0.25">
      <c r="D13" s="54" t="s">
        <v>147</v>
      </c>
      <c r="E13" s="81" t="s">
        <v>142</v>
      </c>
      <c r="F13" s="88"/>
      <c r="G13" s="88"/>
      <c r="H13" s="88"/>
      <c r="I13" s="88"/>
      <c r="J13" s="89"/>
      <c r="K13" s="88"/>
      <c r="L13" s="88"/>
      <c r="M13" s="88"/>
      <c r="N13" s="88"/>
    </row>
    <row r="14" spans="2:19" x14ac:dyDescent="0.25">
      <c r="J14" s="65"/>
      <c r="K14" s="62"/>
    </row>
    <row r="15" spans="2:19" x14ac:dyDescent="0.25">
      <c r="J15" s="65"/>
      <c r="K15" s="62"/>
    </row>
    <row r="16" spans="2:19" x14ac:dyDescent="0.25">
      <c r="C16" s="79"/>
      <c r="D16" s="84" t="s">
        <v>135</v>
      </c>
      <c r="E16" s="83"/>
      <c r="F16" s="85"/>
      <c r="G16" s="85"/>
      <c r="H16" s="85"/>
      <c r="I16" s="85"/>
      <c r="J16" s="86"/>
      <c r="K16" s="85"/>
      <c r="L16" s="85"/>
      <c r="M16" s="85"/>
      <c r="N16" s="85"/>
    </row>
    <row r="17" spans="3:19" x14ac:dyDescent="0.25">
      <c r="D17" s="38" t="s">
        <v>134</v>
      </c>
      <c r="J17" s="65"/>
    </row>
    <row r="18" spans="3:19" x14ac:dyDescent="0.25">
      <c r="J18" s="65"/>
    </row>
    <row r="19" spans="3:19" x14ac:dyDescent="0.25">
      <c r="D19" t="s">
        <v>114</v>
      </c>
      <c r="E19" s="81" t="s">
        <v>141</v>
      </c>
      <c r="F19" s="59"/>
      <c r="G19" s="59"/>
      <c r="H19" s="59"/>
      <c r="I19" s="59"/>
      <c r="J19" s="87"/>
      <c r="K19" s="59"/>
      <c r="L19" s="59"/>
      <c r="M19" s="59"/>
      <c r="N19" s="59"/>
    </row>
    <row r="20" spans="3:19" x14ac:dyDescent="0.25">
      <c r="D20" t="s">
        <v>150</v>
      </c>
      <c r="E20" s="81" t="s">
        <v>142</v>
      </c>
      <c r="F20" s="88"/>
      <c r="G20" s="88"/>
      <c r="H20" s="88"/>
      <c r="I20" s="88"/>
      <c r="J20" s="89"/>
      <c r="K20" s="88"/>
      <c r="L20" s="88"/>
      <c r="M20" s="88"/>
      <c r="N20" s="88"/>
    </row>
    <row r="21" spans="3:19" x14ac:dyDescent="0.25">
      <c r="D21" t="s">
        <v>118</v>
      </c>
      <c r="E21" s="81" t="s">
        <v>142</v>
      </c>
      <c r="F21" s="88"/>
      <c r="G21" s="88"/>
      <c r="H21" s="88"/>
      <c r="I21" s="88"/>
      <c r="J21" s="89"/>
      <c r="K21" s="88"/>
      <c r="L21" s="88"/>
      <c r="M21" s="88"/>
      <c r="N21" s="88"/>
    </row>
    <row r="22" spans="3:19" x14ac:dyDescent="0.25">
      <c r="D22" t="s">
        <v>152</v>
      </c>
      <c r="E22" s="81" t="s">
        <v>142</v>
      </c>
      <c r="F22" s="88"/>
      <c r="G22" s="88"/>
      <c r="H22" s="88"/>
      <c r="I22" s="88"/>
      <c r="J22" s="89"/>
      <c r="K22" s="88"/>
      <c r="L22" s="88"/>
      <c r="M22" s="88"/>
      <c r="N22" s="88"/>
    </row>
    <row r="23" spans="3:19" x14ac:dyDescent="0.25">
      <c r="D23" t="s">
        <v>151</v>
      </c>
      <c r="E23" s="81" t="s">
        <v>142</v>
      </c>
      <c r="F23" s="88"/>
      <c r="G23" s="88"/>
      <c r="H23" s="88"/>
      <c r="I23" s="88"/>
      <c r="J23" s="89"/>
      <c r="K23" s="88"/>
      <c r="L23" s="88"/>
      <c r="M23" s="88"/>
      <c r="N23" s="88"/>
    </row>
    <row r="24" spans="3:19" x14ac:dyDescent="0.25">
      <c r="D24" t="s">
        <v>154</v>
      </c>
      <c r="E24" s="81" t="s">
        <v>141</v>
      </c>
      <c r="F24" s="59"/>
      <c r="G24" s="59"/>
      <c r="H24" s="59"/>
      <c r="I24" s="59"/>
      <c r="J24" s="87"/>
      <c r="K24" s="59"/>
      <c r="L24" s="59"/>
      <c r="M24" s="59"/>
      <c r="N24" s="59"/>
    </row>
    <row r="25" spans="3:19" x14ac:dyDescent="0.25">
      <c r="D25" t="s">
        <v>155</v>
      </c>
      <c r="E25" s="81" t="s">
        <v>142</v>
      </c>
      <c r="F25" s="88"/>
      <c r="G25" s="88"/>
      <c r="H25" s="88"/>
      <c r="I25" s="88"/>
      <c r="J25" s="89"/>
      <c r="K25" s="88"/>
      <c r="L25" s="88"/>
      <c r="M25" s="88"/>
      <c r="N25" s="88"/>
    </row>
    <row r="26" spans="3:19" x14ac:dyDescent="0.25">
      <c r="D26" t="s">
        <v>153</v>
      </c>
      <c r="E26" s="81" t="s">
        <v>141</v>
      </c>
      <c r="F26" s="59"/>
      <c r="G26" s="59"/>
      <c r="H26" s="59"/>
      <c r="I26" s="59"/>
      <c r="J26" s="87"/>
      <c r="K26" s="59"/>
      <c r="L26" s="59"/>
      <c r="M26" s="59"/>
      <c r="N26" s="59"/>
      <c r="S26" s="97"/>
    </row>
    <row r="27" spans="3:19" x14ac:dyDescent="0.25">
      <c r="J27" s="65"/>
    </row>
    <row r="28" spans="3:19" x14ac:dyDescent="0.25">
      <c r="J28" s="65"/>
    </row>
    <row r="29" spans="3:19" x14ac:dyDescent="0.25">
      <c r="C29" s="79"/>
      <c r="D29" s="84" t="s">
        <v>136</v>
      </c>
      <c r="E29" s="83"/>
      <c r="F29" s="85"/>
      <c r="G29" s="85"/>
      <c r="H29" s="85"/>
      <c r="I29" s="85"/>
      <c r="J29" s="86"/>
      <c r="K29" s="85"/>
      <c r="L29" s="85"/>
      <c r="M29" s="85"/>
      <c r="N29" s="85"/>
    </row>
    <row r="30" spans="3:19" x14ac:dyDescent="0.25">
      <c r="D30" s="38" t="s">
        <v>137</v>
      </c>
      <c r="J30" s="65"/>
    </row>
    <row r="31" spans="3:19" x14ac:dyDescent="0.25">
      <c r="J31" s="65"/>
    </row>
    <row r="32" spans="3:19" x14ac:dyDescent="0.25">
      <c r="D32" t="s">
        <v>114</v>
      </c>
      <c r="E32" s="81" t="s">
        <v>141</v>
      </c>
      <c r="F32" s="59"/>
      <c r="G32" s="59"/>
      <c r="H32" s="59"/>
      <c r="I32" s="59"/>
      <c r="J32" s="87"/>
      <c r="K32" s="59"/>
      <c r="L32" s="59"/>
      <c r="M32" s="59"/>
      <c r="N32" s="59"/>
    </row>
    <row r="33" spans="3:14" x14ac:dyDescent="0.25">
      <c r="D33" t="s">
        <v>156</v>
      </c>
      <c r="E33" s="81" t="s">
        <v>141</v>
      </c>
      <c r="F33" s="59"/>
      <c r="G33" s="59"/>
      <c r="H33" s="59"/>
      <c r="I33" s="59"/>
      <c r="J33" s="87"/>
      <c r="K33" s="59"/>
      <c r="L33" s="59"/>
      <c r="M33" s="59"/>
      <c r="N33" s="59"/>
    </row>
    <row r="34" spans="3:14" x14ac:dyDescent="0.25">
      <c r="D34" t="s">
        <v>150</v>
      </c>
      <c r="E34" s="81" t="s">
        <v>142</v>
      </c>
      <c r="F34" s="88"/>
      <c r="G34" s="88"/>
      <c r="H34" s="88"/>
      <c r="I34" s="88"/>
      <c r="J34" s="89"/>
      <c r="K34" s="88"/>
      <c r="L34" s="88"/>
      <c r="M34" s="88"/>
      <c r="N34" s="88"/>
    </row>
    <row r="35" spans="3:14" x14ac:dyDescent="0.25">
      <c r="D35" t="s">
        <v>118</v>
      </c>
      <c r="E35" s="81" t="s">
        <v>142</v>
      </c>
      <c r="F35" s="88"/>
      <c r="G35" s="88"/>
      <c r="H35" s="88"/>
      <c r="I35" s="88"/>
      <c r="J35" s="89"/>
      <c r="K35" s="88"/>
      <c r="L35" s="88"/>
      <c r="M35" s="88"/>
      <c r="N35" s="88"/>
    </row>
    <row r="36" spans="3:14" x14ac:dyDescent="0.25">
      <c r="D36" t="s">
        <v>158</v>
      </c>
      <c r="E36" s="81" t="s">
        <v>142</v>
      </c>
      <c r="F36" s="88"/>
      <c r="G36" s="88"/>
      <c r="H36" s="88"/>
      <c r="I36" s="88"/>
      <c r="J36" s="89"/>
      <c r="K36" s="88"/>
      <c r="L36" s="88"/>
      <c r="M36" s="88"/>
      <c r="N36" s="88"/>
    </row>
    <row r="37" spans="3:14" x14ac:dyDescent="0.25">
      <c r="D37" t="s">
        <v>151</v>
      </c>
      <c r="E37" s="81" t="s">
        <v>142</v>
      </c>
      <c r="F37" s="88"/>
      <c r="G37" s="88"/>
      <c r="H37" s="88"/>
      <c r="I37" s="88"/>
      <c r="J37" s="89"/>
      <c r="K37" s="88"/>
      <c r="L37" s="88"/>
      <c r="M37" s="88"/>
      <c r="N37" s="88"/>
    </row>
    <row r="38" spans="3:14" x14ac:dyDescent="0.25">
      <c r="D38" t="s">
        <v>143</v>
      </c>
      <c r="E38" s="81" t="s">
        <v>142</v>
      </c>
      <c r="F38" s="88"/>
      <c r="G38" s="88"/>
      <c r="H38" s="88"/>
      <c r="I38" s="88"/>
      <c r="J38" s="89"/>
      <c r="K38" s="88"/>
      <c r="L38" s="88"/>
      <c r="M38" s="88"/>
      <c r="N38" s="88"/>
    </row>
    <row r="39" spans="3:14" x14ac:dyDescent="0.25">
      <c r="D39" s="54" t="s">
        <v>159</v>
      </c>
      <c r="E39" s="81" t="s">
        <v>142</v>
      </c>
      <c r="F39" s="88"/>
      <c r="G39" s="88"/>
      <c r="H39" s="88"/>
      <c r="I39" s="88"/>
      <c r="J39" s="89"/>
      <c r="K39" s="88"/>
      <c r="L39" s="88"/>
      <c r="M39" s="88"/>
      <c r="N39" s="88"/>
    </row>
    <row r="40" spans="3:14" x14ac:dyDescent="0.25">
      <c r="D40" s="38" t="s">
        <v>157</v>
      </c>
      <c r="F40" s="60"/>
      <c r="G40" s="60"/>
      <c r="H40" s="60"/>
      <c r="I40" s="60"/>
      <c r="J40" s="66"/>
      <c r="K40" s="60"/>
      <c r="L40" s="60"/>
      <c r="M40" s="60"/>
      <c r="N40" s="60"/>
    </row>
    <row r="41" spans="3:14" x14ac:dyDescent="0.25">
      <c r="J41" s="65"/>
    </row>
    <row r="42" spans="3:14" x14ac:dyDescent="0.25">
      <c r="J42" s="65"/>
    </row>
    <row r="43" spans="3:14" x14ac:dyDescent="0.25">
      <c r="J43" s="65"/>
    </row>
    <row r="44" spans="3:14" x14ac:dyDescent="0.25">
      <c r="C44" s="79"/>
      <c r="D44" s="84" t="s">
        <v>138</v>
      </c>
      <c r="E44" s="83"/>
      <c r="F44" s="85"/>
      <c r="G44" s="85"/>
      <c r="H44" s="85"/>
      <c r="I44" s="85"/>
      <c r="J44" s="86"/>
      <c r="K44" s="85"/>
      <c r="L44" s="85"/>
      <c r="M44" s="85"/>
      <c r="N44" s="85"/>
    </row>
    <row r="45" spans="3:14" x14ac:dyDescent="0.25">
      <c r="D45" s="38" t="s">
        <v>139</v>
      </c>
      <c r="J45" s="65"/>
    </row>
    <row r="46" spans="3:14" x14ac:dyDescent="0.25">
      <c r="J46" s="65"/>
    </row>
    <row r="47" spans="3:14" x14ac:dyDescent="0.25">
      <c r="D47" t="s">
        <v>160</v>
      </c>
      <c r="E47" s="81" t="s">
        <v>142</v>
      </c>
      <c r="F47" s="88"/>
      <c r="G47" s="88"/>
      <c r="H47" s="88"/>
      <c r="I47" s="88"/>
      <c r="J47" s="89"/>
      <c r="K47" s="88"/>
      <c r="L47" s="88"/>
      <c r="M47" s="88"/>
      <c r="N47" s="88"/>
    </row>
    <row r="48" spans="3:14" x14ac:dyDescent="0.25">
      <c r="D48" t="s">
        <v>163</v>
      </c>
      <c r="E48" s="81" t="s">
        <v>141</v>
      </c>
      <c r="F48" s="59"/>
      <c r="G48" s="59"/>
      <c r="H48" s="59"/>
      <c r="I48" s="59"/>
      <c r="J48" s="87"/>
      <c r="K48" s="59"/>
      <c r="L48" s="59"/>
      <c r="M48" s="59"/>
      <c r="N48" s="59"/>
    </row>
    <row r="49" spans="3:14" x14ac:dyDescent="0.25">
      <c r="D49" t="s">
        <v>161</v>
      </c>
      <c r="E49" s="81" t="s">
        <v>142</v>
      </c>
      <c r="F49" s="88"/>
      <c r="G49" s="88"/>
      <c r="H49" s="88"/>
      <c r="I49" s="88"/>
      <c r="J49" s="89"/>
      <c r="K49" s="88"/>
      <c r="L49" s="88"/>
      <c r="M49" s="88"/>
      <c r="N49" s="88"/>
    </row>
    <row r="50" spans="3:14" x14ac:dyDescent="0.25">
      <c r="D50" t="s">
        <v>114</v>
      </c>
      <c r="E50" s="81" t="s">
        <v>141</v>
      </c>
      <c r="F50" s="59"/>
      <c r="G50" s="59"/>
      <c r="H50" s="59"/>
      <c r="I50" s="59"/>
      <c r="J50" s="87"/>
      <c r="K50" s="59"/>
      <c r="L50" s="59"/>
      <c r="M50" s="59"/>
      <c r="N50" s="59"/>
    </row>
    <row r="51" spans="3:14" x14ac:dyDescent="0.25">
      <c r="D51" t="s">
        <v>156</v>
      </c>
      <c r="E51" s="81" t="s">
        <v>141</v>
      </c>
      <c r="F51" s="59"/>
      <c r="G51" s="59"/>
      <c r="H51" s="59"/>
      <c r="I51" s="59"/>
      <c r="J51" s="87"/>
      <c r="K51" s="59"/>
      <c r="L51" s="59"/>
      <c r="M51" s="59"/>
      <c r="N51" s="59"/>
    </row>
    <row r="52" spans="3:14" x14ac:dyDescent="0.25">
      <c r="D52" t="s">
        <v>162</v>
      </c>
      <c r="E52" s="81" t="s">
        <v>141</v>
      </c>
      <c r="F52" s="59"/>
      <c r="G52" s="59"/>
      <c r="H52" s="59"/>
      <c r="I52" s="59"/>
      <c r="J52" s="87"/>
      <c r="K52" s="59"/>
      <c r="L52" s="59"/>
      <c r="M52" s="59"/>
      <c r="N52" s="59"/>
    </row>
    <row r="53" spans="3:14" x14ac:dyDescent="0.25">
      <c r="D53" t="s">
        <v>118</v>
      </c>
      <c r="E53" s="81" t="s">
        <v>142</v>
      </c>
      <c r="F53" s="88"/>
      <c r="G53" s="88"/>
      <c r="H53" s="88"/>
      <c r="I53" s="88"/>
      <c r="J53" s="89"/>
      <c r="K53" s="88"/>
      <c r="L53" s="88"/>
      <c r="M53" s="88"/>
      <c r="N53" s="88"/>
    </row>
    <row r="54" spans="3:14" x14ac:dyDescent="0.25">
      <c r="D54" t="s">
        <v>115</v>
      </c>
      <c r="E54" s="81" t="s">
        <v>142</v>
      </c>
      <c r="F54" s="88"/>
      <c r="G54" s="88"/>
      <c r="H54" s="88"/>
      <c r="I54" s="88"/>
      <c r="J54" s="89"/>
      <c r="K54" s="88"/>
      <c r="L54" s="88"/>
      <c r="M54" s="88"/>
      <c r="N54" s="88"/>
    </row>
    <row r="55" spans="3:14" x14ac:dyDescent="0.25">
      <c r="D55" t="s">
        <v>164</v>
      </c>
      <c r="E55" s="81" t="s">
        <v>142</v>
      </c>
      <c r="F55" s="88"/>
      <c r="G55" s="88"/>
      <c r="H55" s="88"/>
      <c r="I55" s="88"/>
      <c r="J55" s="89"/>
      <c r="K55" s="88"/>
      <c r="L55" s="88"/>
      <c r="M55" s="88"/>
      <c r="N55" s="88"/>
    </row>
    <row r="56" spans="3:14" x14ac:dyDescent="0.25">
      <c r="D56" t="s">
        <v>165</v>
      </c>
      <c r="E56" s="81" t="s">
        <v>142</v>
      </c>
      <c r="F56" s="88"/>
      <c r="G56" s="88"/>
      <c r="H56" s="88"/>
      <c r="I56" s="88"/>
      <c r="J56" s="89"/>
      <c r="K56" s="88"/>
      <c r="L56" s="88"/>
      <c r="M56" s="88"/>
      <c r="N56" s="88"/>
    </row>
    <row r="57" spans="3:14" x14ac:dyDescent="0.25">
      <c r="D57" t="s">
        <v>166</v>
      </c>
      <c r="E57" s="81" t="s">
        <v>141</v>
      </c>
      <c r="F57" s="59"/>
      <c r="G57" s="59"/>
      <c r="H57" s="59"/>
      <c r="I57" s="59"/>
      <c r="J57" s="87"/>
      <c r="K57" s="59"/>
      <c r="L57" s="59"/>
      <c r="M57" s="59"/>
      <c r="N57" s="59"/>
    </row>
    <row r="58" spans="3:14" x14ac:dyDescent="0.25">
      <c r="D58" s="38" t="s">
        <v>157</v>
      </c>
      <c r="J58" s="65"/>
    </row>
    <row r="59" spans="3:14" x14ac:dyDescent="0.25">
      <c r="D59" s="38"/>
      <c r="J59" s="65"/>
    </row>
    <row r="60" spans="3:14" x14ac:dyDescent="0.25">
      <c r="J60" s="65"/>
    </row>
    <row r="61" spans="3:14" x14ac:dyDescent="0.25">
      <c r="C61" s="79"/>
      <c r="D61" s="84" t="s">
        <v>140</v>
      </c>
      <c r="E61" s="83"/>
      <c r="F61" s="85"/>
      <c r="G61" s="85"/>
      <c r="H61" s="85"/>
      <c r="I61" s="85"/>
      <c r="J61" s="86"/>
      <c r="K61" s="85"/>
      <c r="L61" s="85"/>
      <c r="M61" s="85"/>
      <c r="N61" s="85"/>
    </row>
    <row r="62" spans="3:14" x14ac:dyDescent="0.25">
      <c r="D62" s="38" t="s">
        <v>148</v>
      </c>
      <c r="J62" s="65"/>
    </row>
    <row r="63" spans="3:14" x14ac:dyDescent="0.25">
      <c r="J63" s="65"/>
    </row>
    <row r="64" spans="3:14" x14ac:dyDescent="0.25">
      <c r="D64" t="s">
        <v>171</v>
      </c>
      <c r="E64" s="81" t="s">
        <v>141</v>
      </c>
      <c r="F64" s="59"/>
      <c r="G64" s="59"/>
      <c r="H64" s="59"/>
      <c r="I64" s="59"/>
      <c r="J64" s="87"/>
      <c r="K64" s="59"/>
      <c r="L64" s="59"/>
      <c r="M64" s="59"/>
      <c r="N64" s="59"/>
    </row>
    <row r="65" spans="4:14" x14ac:dyDescent="0.25">
      <c r="D65" t="s">
        <v>167</v>
      </c>
      <c r="E65" s="81" t="s">
        <v>142</v>
      </c>
      <c r="F65" s="88"/>
      <c r="G65" s="88"/>
      <c r="H65" s="88"/>
      <c r="I65" s="88"/>
      <c r="J65" s="89"/>
      <c r="K65" s="88"/>
      <c r="L65" s="88"/>
      <c r="M65" s="88"/>
      <c r="N65" s="88"/>
    </row>
    <row r="66" spans="4:14" x14ac:dyDescent="0.25">
      <c r="D66" t="s">
        <v>173</v>
      </c>
      <c r="E66" s="81" t="s">
        <v>141</v>
      </c>
      <c r="F66" s="59"/>
      <c r="G66" s="59"/>
      <c r="H66" s="59"/>
      <c r="I66" s="59"/>
      <c r="J66" s="87"/>
      <c r="K66" s="59"/>
      <c r="L66" s="59"/>
      <c r="M66" s="59"/>
      <c r="N66" s="59"/>
    </row>
    <row r="67" spans="4:14" x14ac:dyDescent="0.25">
      <c r="D67" t="s">
        <v>172</v>
      </c>
      <c r="E67" s="81" t="s">
        <v>141</v>
      </c>
      <c r="F67" s="59"/>
      <c r="G67" s="59"/>
      <c r="H67" s="59"/>
      <c r="I67" s="59"/>
      <c r="J67" s="87"/>
      <c r="K67" s="59"/>
      <c r="L67" s="59"/>
      <c r="M67" s="59"/>
      <c r="N67" s="59"/>
    </row>
    <row r="68" spans="4:14" x14ac:dyDescent="0.25">
      <c r="D68" t="s">
        <v>168</v>
      </c>
      <c r="E68" s="81" t="s">
        <v>141</v>
      </c>
      <c r="F68" s="59"/>
      <c r="G68" s="59"/>
      <c r="H68" s="59"/>
      <c r="I68" s="59"/>
      <c r="J68" s="87"/>
      <c r="K68" s="59"/>
      <c r="L68" s="59"/>
      <c r="M68" s="59"/>
      <c r="N68" s="59"/>
    </row>
    <row r="69" spans="4:14" x14ac:dyDescent="0.25">
      <c r="D69" t="s">
        <v>169</v>
      </c>
      <c r="E69" s="81" t="s">
        <v>141</v>
      </c>
      <c r="F69" s="59"/>
      <c r="G69" s="59"/>
      <c r="H69" s="59"/>
      <c r="I69" s="59"/>
      <c r="J69" s="87"/>
      <c r="K69" s="59"/>
      <c r="L69" s="59"/>
      <c r="M69" s="59"/>
      <c r="N69" s="59"/>
    </row>
    <row r="70" spans="4:14" x14ac:dyDescent="0.25">
      <c r="D70" t="s">
        <v>170</v>
      </c>
      <c r="E70" s="81" t="s">
        <v>141</v>
      </c>
      <c r="F70" s="59"/>
      <c r="G70" s="59"/>
      <c r="H70" s="59"/>
      <c r="I70" s="59"/>
      <c r="J70" s="87"/>
      <c r="K70" s="59"/>
      <c r="L70" s="59"/>
      <c r="M70" s="59"/>
      <c r="N70" s="59"/>
    </row>
    <row r="71" spans="4:14" x14ac:dyDescent="0.25">
      <c r="J71" s="65"/>
    </row>
    <row r="72" spans="4:14" x14ac:dyDescent="0.25">
      <c r="J72" s="65"/>
    </row>
    <row r="73" spans="4:14" x14ac:dyDescent="0.25">
      <c r="J73" s="65"/>
    </row>
    <row r="74" spans="4:14" x14ac:dyDescent="0.25">
      <c r="J74" s="65"/>
    </row>
    <row r="75" spans="4:14" x14ac:dyDescent="0.25">
      <c r="J75" s="65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7030A0"/>
  </sheetPr>
  <dimension ref="B1:W35"/>
  <sheetViews>
    <sheetView showGridLines="0" tabSelected="1" zoomScale="115" zoomScaleNormal="115" workbookViewId="0">
      <selection activeCell="J34" sqref="J34"/>
    </sheetView>
  </sheetViews>
  <sheetFormatPr baseColWidth="10" defaultRowHeight="15" x14ac:dyDescent="0.25"/>
  <cols>
    <col min="1" max="1" width="5.28515625" customWidth="1"/>
    <col min="2" max="2" width="3.7109375" customWidth="1"/>
    <col min="3" max="3" width="66.7109375" customWidth="1"/>
    <col min="4" max="4" width="4" style="81" bestFit="1" customWidth="1"/>
    <col min="6" max="6" width="12.42578125" bestFit="1" customWidth="1"/>
  </cols>
  <sheetData>
    <row r="1" spans="2:23" x14ac:dyDescent="0.25">
      <c r="L1" s="37"/>
      <c r="M1" s="37"/>
    </row>
    <row r="2" spans="2:23" x14ac:dyDescent="0.25">
      <c r="L2" s="37"/>
      <c r="M2" s="37"/>
    </row>
    <row r="3" spans="2:23" x14ac:dyDescent="0.25">
      <c r="B3" s="47"/>
      <c r="C3" s="73" t="s">
        <v>199</v>
      </c>
      <c r="D3" s="121"/>
      <c r="E3" s="56"/>
      <c r="F3" s="74" t="s">
        <v>200</v>
      </c>
      <c r="G3" s="74">
        <f>+COUNTA(F5:AC5)</f>
        <v>7</v>
      </c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</row>
    <row r="4" spans="2:23" x14ac:dyDescent="0.25">
      <c r="L4" s="37"/>
      <c r="M4" s="37"/>
      <c r="P4" s="37"/>
      <c r="Q4" s="37"/>
      <c r="R4" s="37"/>
      <c r="S4" s="37"/>
      <c r="T4" s="37"/>
      <c r="U4" s="37"/>
      <c r="V4" s="37"/>
      <c r="W4" s="37"/>
    </row>
    <row r="5" spans="2:23" x14ac:dyDescent="0.25">
      <c r="B5" s="101" t="s">
        <v>128</v>
      </c>
      <c r="C5" s="73" t="s">
        <v>198</v>
      </c>
      <c r="D5" s="121"/>
      <c r="E5" s="73"/>
      <c r="F5" s="74">
        <v>2016</v>
      </c>
      <c r="G5" s="74">
        <v>2017</v>
      </c>
      <c r="H5" s="74">
        <v>2018</v>
      </c>
      <c r="I5" s="74">
        <v>2019</v>
      </c>
      <c r="J5" s="75">
        <v>2020</v>
      </c>
      <c r="K5" s="74">
        <v>2021</v>
      </c>
      <c r="L5" s="76">
        <v>2022</v>
      </c>
      <c r="M5" s="74"/>
      <c r="N5" s="75"/>
      <c r="O5" s="74"/>
      <c r="P5" s="75"/>
      <c r="Q5" s="74"/>
      <c r="R5" s="75"/>
      <c r="S5" s="74"/>
      <c r="T5" s="75"/>
      <c r="U5" s="74"/>
      <c r="V5" s="75"/>
      <c r="W5" s="74"/>
    </row>
    <row r="6" spans="2:23" ht="15" customHeight="1" x14ac:dyDescent="0.25">
      <c r="B6" s="146" t="s">
        <v>181</v>
      </c>
      <c r="C6" s="53" t="s">
        <v>130</v>
      </c>
      <c r="D6" s="122" t="s">
        <v>141</v>
      </c>
      <c r="E6" s="78" t="str">
        <f>+VLOOKUP(C6,[1]field_key!$A$1:$B$27,2,0)</f>
        <v>Ratio1</v>
      </c>
      <c r="F6" s="63">
        <v>5.2808844171195968E-2</v>
      </c>
      <c r="G6" s="63">
        <v>3.2867050646623965E-2</v>
      </c>
      <c r="H6" s="59">
        <v>7.229159488387378E-2</v>
      </c>
      <c r="I6" s="59">
        <v>7.0854570918710308E-2</v>
      </c>
      <c r="J6" s="61">
        <v>6.9419242595772201E-2</v>
      </c>
      <c r="K6" s="61">
        <v>6.450905058848945E-2</v>
      </c>
      <c r="L6" s="67">
        <v>5.8676333751085996E-2</v>
      </c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</row>
    <row r="7" spans="2:23" x14ac:dyDescent="0.25">
      <c r="B7" s="144"/>
      <c r="C7" s="37" t="s">
        <v>183</v>
      </c>
      <c r="D7" s="122" t="s">
        <v>141</v>
      </c>
      <c r="E7" s="78" t="str">
        <f>+VLOOKUP(C7,[1]field_key!$A$1:$B$27,2,0)</f>
        <v>Ratio14</v>
      </c>
      <c r="F7" s="102">
        <v>0</v>
      </c>
      <c r="G7" s="102">
        <v>0</v>
      </c>
      <c r="H7" s="77">
        <v>0</v>
      </c>
      <c r="I7" s="77">
        <v>0</v>
      </c>
      <c r="J7" s="69">
        <v>0</v>
      </c>
      <c r="K7" s="69">
        <v>0</v>
      </c>
      <c r="L7" s="103">
        <v>0</v>
      </c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</row>
    <row r="8" spans="2:23" x14ac:dyDescent="0.25">
      <c r="B8" s="144"/>
      <c r="C8" s="37" t="s">
        <v>121</v>
      </c>
      <c r="D8" s="122" t="s">
        <v>141</v>
      </c>
      <c r="E8" s="78" t="str">
        <f>+VLOOKUP(C8,[1]field_key!$A$1:$B$27,2,0)</f>
        <v>Ratio2</v>
      </c>
      <c r="F8" s="63">
        <v>6.0380972186569765E-2</v>
      </c>
      <c r="G8" s="63">
        <v>5.0946166218727371E-2</v>
      </c>
      <c r="H8" s="59">
        <v>8.0919854347988554E-2</v>
      </c>
      <c r="I8" s="59">
        <v>7.9172281532454522E-2</v>
      </c>
      <c r="J8" s="61">
        <v>7.7407741990556195E-2</v>
      </c>
      <c r="K8" s="61">
        <v>7.5626070996794706E-2</v>
      </c>
      <c r="L8" s="67">
        <v>7.3827102226394742E-2</v>
      </c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</row>
    <row r="9" spans="2:23" x14ac:dyDescent="0.25">
      <c r="B9" s="144"/>
      <c r="C9" s="37" t="s">
        <v>184</v>
      </c>
      <c r="D9" s="122" t="s">
        <v>141</v>
      </c>
      <c r="E9" s="78" t="str">
        <f>+VLOOKUP(C9,[1]field_key!$A$1:$B$27,2,0)</f>
        <v>Ratio15</v>
      </c>
      <c r="F9" s="57">
        <v>6.0380972186569765E-2</v>
      </c>
      <c r="G9" s="68">
        <v>5.0946166218727371E-2</v>
      </c>
      <c r="H9" s="57">
        <v>8.0919854347988554E-2</v>
      </c>
      <c r="I9" s="77">
        <v>7.9172281532454522E-2</v>
      </c>
      <c r="J9" s="69">
        <v>7.7407741990556195E-2</v>
      </c>
      <c r="K9" s="69">
        <v>7.5626070996794706E-2</v>
      </c>
      <c r="L9" s="103">
        <v>7.3827102226394742E-2</v>
      </c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</row>
    <row r="10" spans="2:23" x14ac:dyDescent="0.25">
      <c r="B10" s="144"/>
      <c r="C10" s="37" t="s">
        <v>124</v>
      </c>
      <c r="D10" s="122" t="s">
        <v>141</v>
      </c>
      <c r="E10" s="78" t="str">
        <f>+VLOOKUP(C10,[1]field_key!$A$1:$B$27,2,0)</f>
        <v>Ratio10</v>
      </c>
      <c r="F10" s="63">
        <v>1.0693347029942183E-2</v>
      </c>
      <c r="G10" s="63">
        <v>-7.9662592001746163E-3</v>
      </c>
      <c r="H10" s="59">
        <v>7.6388252419851586E-3</v>
      </c>
      <c r="I10" s="59">
        <v>7.2503877423276339E-3</v>
      </c>
      <c r="J10" s="61">
        <v>7.4801959688264481E-3</v>
      </c>
      <c r="K10" s="61">
        <v>6.9742010573532499E-3</v>
      </c>
      <c r="L10" s="67">
        <v>5.4395325538823024E-3</v>
      </c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</row>
    <row r="11" spans="2:23" x14ac:dyDescent="0.25">
      <c r="B11" s="144"/>
      <c r="C11" s="37" t="s">
        <v>185</v>
      </c>
      <c r="D11" s="122" t="s">
        <v>141</v>
      </c>
      <c r="E11" s="78" t="str">
        <f>+VLOOKUP(C11,[1]field_key!$A$1:$B$27,2,0)</f>
        <v>Ratio23</v>
      </c>
      <c r="F11" s="57">
        <v>1.0693347029942183E-2</v>
      </c>
      <c r="G11" s="68">
        <v>-7.9662592001746163E-3</v>
      </c>
      <c r="H11" s="57">
        <v>7.6388252419851586E-3</v>
      </c>
      <c r="I11" s="77">
        <v>7.2503877423276339E-3</v>
      </c>
      <c r="J11" s="69">
        <v>7.4801959688264481E-3</v>
      </c>
      <c r="K11" s="69">
        <v>6.9742010573532499E-3</v>
      </c>
      <c r="L11" s="103">
        <v>5.4395325538823024E-3</v>
      </c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</row>
    <row r="12" spans="2:23" x14ac:dyDescent="0.25">
      <c r="B12" s="144"/>
      <c r="C12" s="37" t="s">
        <v>127</v>
      </c>
      <c r="D12" s="122" t="s">
        <v>141</v>
      </c>
      <c r="E12" s="78" t="str">
        <f>+VLOOKUP(C12,[1]field_key!$A$1:$B$27,2,0)</f>
        <v>Ratio13</v>
      </c>
      <c r="F12" s="63">
        <v>0.2250398633044243</v>
      </c>
      <c r="G12" s="63">
        <v>-0.21090724519810908</v>
      </c>
      <c r="H12" s="59">
        <v>0.17239477178798007</v>
      </c>
      <c r="I12" s="59">
        <v>0.14422926903133884</v>
      </c>
      <c r="J12" s="61">
        <v>0.13289643792860256</v>
      </c>
      <c r="K12" s="61">
        <v>0.1131795013074043</v>
      </c>
      <c r="L12" s="67">
        <v>8.3344732314957246E-2</v>
      </c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</row>
    <row r="13" spans="2:23" x14ac:dyDescent="0.25">
      <c r="B13" s="144"/>
      <c r="C13" s="37" t="s">
        <v>188</v>
      </c>
      <c r="D13" s="122" t="s">
        <v>141</v>
      </c>
      <c r="E13" s="78" t="str">
        <f>+VLOOKUP(C13,[1]field_key!$A$1:$B$27,2,0)</f>
        <v>Ratio26</v>
      </c>
      <c r="F13" s="57">
        <v>0.2250398633044243</v>
      </c>
      <c r="G13" s="68">
        <v>-0.21090724519810908</v>
      </c>
      <c r="H13" s="57">
        <v>0.17239477178798007</v>
      </c>
      <c r="I13" s="77">
        <v>0.14422926903133884</v>
      </c>
      <c r="J13" s="69">
        <v>0.13289643792860256</v>
      </c>
      <c r="K13" s="69">
        <v>0.1131795013074043</v>
      </c>
      <c r="L13" s="103">
        <v>8.3344732314957246E-2</v>
      </c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</row>
    <row r="14" spans="2:23" ht="15" customHeight="1" x14ac:dyDescent="0.25">
      <c r="B14" s="143" t="s">
        <v>182</v>
      </c>
      <c r="C14" s="98" t="s">
        <v>120</v>
      </c>
      <c r="D14" s="123" t="s">
        <v>142</v>
      </c>
      <c r="E14" s="78" t="str">
        <f>+VLOOKUP(C14,[1]field_key!$A$1:$B$27,2,0)</f>
        <v>Ratio12</v>
      </c>
      <c r="F14" s="113">
        <v>8.8095407649038879</v>
      </c>
      <c r="G14" s="113">
        <v>11.080794567128871</v>
      </c>
      <c r="H14" s="113">
        <v>10.401903116786425</v>
      </c>
      <c r="I14" s="113">
        <v>8.8640105466975694</v>
      </c>
      <c r="J14" s="114">
        <v>7.6286830607043372</v>
      </c>
      <c r="K14" s="114">
        <v>7.0504182333882648</v>
      </c>
      <c r="L14" s="115">
        <v>6.8486333239977428</v>
      </c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</row>
    <row r="15" spans="2:23" x14ac:dyDescent="0.25">
      <c r="B15" s="144"/>
      <c r="C15" s="37" t="s">
        <v>189</v>
      </c>
      <c r="D15" s="122" t="s">
        <v>142</v>
      </c>
      <c r="E15" s="78" t="str">
        <f>+VLOOKUP(C15,[1]field_key!$A$1:$B$27,2,0)</f>
        <v>Ratio25</v>
      </c>
      <c r="F15" s="116">
        <v>8.8095407649038879</v>
      </c>
      <c r="G15" s="116">
        <v>11.080794567128871</v>
      </c>
      <c r="H15" s="116">
        <v>10.401903116786425</v>
      </c>
      <c r="I15" s="117">
        <v>8.8640105466975694</v>
      </c>
      <c r="J15" s="116">
        <v>7.6286830607043372</v>
      </c>
      <c r="K15" s="116">
        <v>7.0504182333882648</v>
      </c>
      <c r="L15" s="118">
        <v>6.8486333239977428</v>
      </c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</row>
    <row r="16" spans="2:23" ht="15.75" customHeight="1" x14ac:dyDescent="0.25">
      <c r="B16" s="144"/>
      <c r="C16" s="37" t="s">
        <v>122</v>
      </c>
      <c r="D16" s="122" t="s">
        <v>142</v>
      </c>
      <c r="E16" s="78" t="str">
        <f>+VLOOKUP(C16,[1]field_key!$A$1:$B$27,2,0)</f>
        <v>Ratio3</v>
      </c>
      <c r="F16" s="119">
        <v>2.243599926055837</v>
      </c>
      <c r="G16" s="119">
        <v>2.9888791281804714</v>
      </c>
      <c r="H16" s="119">
        <v>1.9834661084870955</v>
      </c>
      <c r="I16" s="119">
        <v>2.1492425980695526</v>
      </c>
      <c r="J16" s="120">
        <v>2.3164086527547969</v>
      </c>
      <c r="K16" s="120">
        <v>2.4951058057862818</v>
      </c>
      <c r="L16" s="89">
        <v>2.7001383844686013</v>
      </c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</row>
    <row r="17" spans="2:23" ht="15.75" customHeight="1" x14ac:dyDescent="0.25">
      <c r="B17" s="144"/>
      <c r="C17" s="37" t="s">
        <v>190</v>
      </c>
      <c r="D17" s="122" t="s">
        <v>142</v>
      </c>
      <c r="E17" s="78" t="str">
        <f>+VLOOKUP(C17,[1]field_key!$A$1:$B$27,2,0)</f>
        <v>Ratio16</v>
      </c>
      <c r="F17" s="116">
        <v>2.243599926055837</v>
      </c>
      <c r="G17" s="116">
        <v>2.9888791281804714</v>
      </c>
      <c r="H17" s="116">
        <v>1.9834661084870955</v>
      </c>
      <c r="I17" s="117">
        <v>2.1492425980695526</v>
      </c>
      <c r="J17" s="116">
        <v>2.3164086527547969</v>
      </c>
      <c r="K17" s="116">
        <v>2.4951058057862818</v>
      </c>
      <c r="L17" s="118">
        <v>2.7001383844686013</v>
      </c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</row>
    <row r="18" spans="2:23" x14ac:dyDescent="0.25">
      <c r="B18" s="144"/>
      <c r="C18" s="37" t="s">
        <v>116</v>
      </c>
      <c r="D18" s="122" t="s">
        <v>141</v>
      </c>
      <c r="E18" s="78" t="str">
        <f>+VLOOKUP(C18,[1]field_key!$A$1:$B$27,2,0)</f>
        <v>Ratio4</v>
      </c>
      <c r="F18" s="63">
        <v>0.25662927385081374</v>
      </c>
      <c r="G18" s="63">
        <v>3.409379831170753E-3</v>
      </c>
      <c r="H18" s="63">
        <v>5.2157695148262587E-2</v>
      </c>
      <c r="I18" s="63">
        <v>6.3641060747204228E-2</v>
      </c>
      <c r="J18" s="64">
        <v>5.0000000068993536E-2</v>
      </c>
      <c r="K18" s="64">
        <v>1</v>
      </c>
      <c r="L18" s="67">
        <v>1</v>
      </c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</row>
    <row r="19" spans="2:23" x14ac:dyDescent="0.25">
      <c r="B19" s="144"/>
      <c r="C19" s="37" t="s">
        <v>191</v>
      </c>
      <c r="D19" s="122" t="s">
        <v>141</v>
      </c>
      <c r="E19" s="78" t="str">
        <f>+VLOOKUP(C19,[1]field_key!$A$1:$B$27,2,0)</f>
        <v>Ratio17</v>
      </c>
      <c r="F19" s="57">
        <v>0.25662927385081374</v>
      </c>
      <c r="G19" s="68">
        <v>3.409379831170753E-3</v>
      </c>
      <c r="H19" s="57">
        <v>5.2157695148262587E-2</v>
      </c>
      <c r="I19" s="77">
        <v>6.3641060747204228E-2</v>
      </c>
      <c r="J19" s="69">
        <v>5.0000000068993536E-2</v>
      </c>
      <c r="K19" s="69">
        <v>1</v>
      </c>
      <c r="L19" s="103">
        <v>1</v>
      </c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</row>
    <row r="20" spans="2:23" x14ac:dyDescent="0.25">
      <c r="B20" s="144"/>
      <c r="C20" s="37" t="s">
        <v>117</v>
      </c>
      <c r="D20" s="122" t="s">
        <v>141</v>
      </c>
      <c r="E20" s="78" t="str">
        <f>+VLOOKUP(C20,[1]field_key!$A$1:$B$27,2,0)</f>
        <v>Ratio5</v>
      </c>
      <c r="F20" s="63">
        <v>0.42454600766931933</v>
      </c>
      <c r="G20" s="63">
        <v>0.51565952115165836</v>
      </c>
      <c r="H20" s="63">
        <v>0.54583988561597441</v>
      </c>
      <c r="I20" s="63">
        <v>0.51956671948802291</v>
      </c>
      <c r="J20" s="64">
        <v>0.49015715668671006</v>
      </c>
      <c r="K20" s="64">
        <v>0.48644360651143081</v>
      </c>
      <c r="L20" s="67">
        <v>0.49515763103760541</v>
      </c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</row>
    <row r="21" spans="2:23" x14ac:dyDescent="0.25">
      <c r="B21" s="145"/>
      <c r="C21" s="80" t="s">
        <v>192</v>
      </c>
      <c r="D21" s="83" t="s">
        <v>141</v>
      </c>
      <c r="E21" s="78" t="str">
        <f>+VLOOKUP(C21,[1]field_key!$A$1:$B$27,2,0)</f>
        <v>Ratio18</v>
      </c>
      <c r="F21" s="104">
        <v>0.42454600766931933</v>
      </c>
      <c r="G21" s="106">
        <v>0.51565952115165836</v>
      </c>
      <c r="H21" s="104">
        <v>0.54583988561597441</v>
      </c>
      <c r="I21" s="112">
        <v>0.51956671948802291</v>
      </c>
      <c r="J21" s="106">
        <v>0.49015715668671006</v>
      </c>
      <c r="K21" s="106">
        <v>0.48644360651143081</v>
      </c>
      <c r="L21" s="105">
        <v>0.49515763103760541</v>
      </c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</row>
    <row r="22" spans="2:23" ht="15" customHeight="1" x14ac:dyDescent="0.25">
      <c r="B22" s="143" t="s">
        <v>187</v>
      </c>
      <c r="C22" s="99" t="s">
        <v>123</v>
      </c>
      <c r="D22" s="123" t="s">
        <v>142</v>
      </c>
      <c r="E22" s="78" t="str">
        <f>+VLOOKUP(C22,[1]field_key!$A$1:$B$27,2,0)</f>
        <v>Ratio6</v>
      </c>
      <c r="F22" s="113">
        <v>3.118460132971284</v>
      </c>
      <c r="G22" s="113">
        <v>2.4625729279770598</v>
      </c>
      <c r="H22" s="113">
        <v>3.61134261484953</v>
      </c>
      <c r="I22" s="113">
        <v>3.731993183953882</v>
      </c>
      <c r="J22" s="114">
        <v>4.048174959321666</v>
      </c>
      <c r="K22" s="114">
        <v>4.1868367177602437</v>
      </c>
      <c r="L22" s="115">
        <v>4.0001175589466778</v>
      </c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</row>
    <row r="23" spans="2:23" x14ac:dyDescent="0.25">
      <c r="B23" s="144"/>
      <c r="C23" s="53" t="s">
        <v>193</v>
      </c>
      <c r="D23" s="122" t="s">
        <v>142</v>
      </c>
      <c r="E23" s="78" t="str">
        <f>+VLOOKUP(C23,[1]field_key!$A$1:$B$27,2,0)</f>
        <v>Ratio19</v>
      </c>
      <c r="F23" s="116">
        <v>3.118460132971284</v>
      </c>
      <c r="G23" s="116">
        <v>2.4625729279770598</v>
      </c>
      <c r="H23" s="116">
        <v>3.61134261484953</v>
      </c>
      <c r="I23" s="117">
        <v>3.731993183953882</v>
      </c>
      <c r="J23" s="116">
        <v>4.048174959321666</v>
      </c>
      <c r="K23" s="116">
        <v>4.1868367177602437</v>
      </c>
      <c r="L23" s="118">
        <v>4.0001175589466778</v>
      </c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</row>
    <row r="24" spans="2:23" x14ac:dyDescent="0.25">
      <c r="B24" s="144"/>
      <c r="C24" s="53" t="s">
        <v>126</v>
      </c>
      <c r="D24" s="122" t="s">
        <v>142</v>
      </c>
      <c r="E24" s="78" t="str">
        <f>+VLOOKUP(C24,[1]field_key!$A$1:$B$27,2,0)</f>
        <v>Ratio7</v>
      </c>
      <c r="F24" s="119">
        <v>1.3239197763816957</v>
      </c>
      <c r="G24" s="119">
        <v>69.237159488717211</v>
      </c>
      <c r="H24" s="119">
        <v>6.1667472008983495</v>
      </c>
      <c r="I24" s="119">
        <v>5.3734885940660897</v>
      </c>
      <c r="J24" s="120">
        <v>7.3557987494420178</v>
      </c>
      <c r="K24" s="120">
        <v>0.35784707422246359</v>
      </c>
      <c r="L24" s="89">
        <v>0.33356848080174184</v>
      </c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</row>
    <row r="25" spans="2:23" x14ac:dyDescent="0.25">
      <c r="B25" s="145"/>
      <c r="C25" s="100" t="s">
        <v>194</v>
      </c>
      <c r="D25" s="124" t="s">
        <v>142</v>
      </c>
      <c r="E25" s="78" t="str">
        <f>+VLOOKUP(C25,[1]field_key!$A$1:$B$27,2,0)</f>
        <v>Ratio20</v>
      </c>
      <c r="F25" s="128">
        <v>1.3239197763816957</v>
      </c>
      <c r="G25" s="128">
        <v>69.237159488717211</v>
      </c>
      <c r="H25" s="128">
        <v>6.1667472008983495</v>
      </c>
      <c r="I25" s="129">
        <v>5.3734885940660897</v>
      </c>
      <c r="J25" s="128">
        <v>7.3557987494420178</v>
      </c>
      <c r="K25" s="128">
        <v>0.35784707422246359</v>
      </c>
      <c r="L25" s="130">
        <v>0.33356848080174184</v>
      </c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</row>
    <row r="26" spans="2:23" ht="15" customHeight="1" x14ac:dyDescent="0.25">
      <c r="B26" s="140" t="s">
        <v>180</v>
      </c>
      <c r="C26" s="107" t="s">
        <v>186</v>
      </c>
      <c r="D26" s="125" t="s">
        <v>141</v>
      </c>
      <c r="E26" s="78" t="str">
        <f>+VLOOKUP(C26,[1]field_key!$A$1:$B$27,2,0)</f>
        <v>Ratio9</v>
      </c>
      <c r="F26" s="109">
        <v>0</v>
      </c>
      <c r="G26" s="109">
        <v>0</v>
      </c>
      <c r="H26" s="109">
        <v>0.63599061842243998</v>
      </c>
      <c r="I26" s="109">
        <v>7.7557681671138745E-3</v>
      </c>
      <c r="J26" s="110">
        <v>7.0440399976314794E-3</v>
      </c>
      <c r="K26" s="110">
        <v>6.2927960901091318E-3</v>
      </c>
      <c r="L26" s="111">
        <v>5.498689683475888E-3</v>
      </c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</row>
    <row r="27" spans="2:23" ht="15" customHeight="1" x14ac:dyDescent="0.25">
      <c r="B27" s="141"/>
      <c r="C27" s="108" t="s">
        <v>195</v>
      </c>
      <c r="D27" s="126" t="s">
        <v>141</v>
      </c>
      <c r="E27" s="78" t="str">
        <f>+VLOOKUP(C27,[1]field_key!$A$1:$B$27,2,0)</f>
        <v>Ratio22</v>
      </c>
      <c r="F27" s="57">
        <v>0</v>
      </c>
      <c r="G27" s="68">
        <v>0</v>
      </c>
      <c r="H27" s="57">
        <v>0.63599061842243998</v>
      </c>
      <c r="I27" s="102">
        <v>7.7557681671138745E-3</v>
      </c>
      <c r="J27" s="68">
        <v>7.0440399976314794E-3</v>
      </c>
      <c r="K27" s="68">
        <v>6.2927960901091318E-3</v>
      </c>
      <c r="L27" s="103">
        <v>5.498689683475888E-3</v>
      </c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</row>
    <row r="28" spans="2:23" x14ac:dyDescent="0.25">
      <c r="B28" s="141"/>
      <c r="C28" s="37" t="s">
        <v>125</v>
      </c>
      <c r="D28" s="122" t="s">
        <v>141</v>
      </c>
      <c r="E28" s="78" t="str">
        <f>+VLOOKUP(C28,[1]field_key!$A$1:$B$27,2,0)</f>
        <v>Ratio11</v>
      </c>
      <c r="F28" s="63">
        <v>2.3888700448199254</v>
      </c>
      <c r="G28" s="63">
        <v>2.3892751310311904</v>
      </c>
      <c r="H28" s="63">
        <v>2.1696251768951047</v>
      </c>
      <c r="I28" s="63">
        <v>2.2442017959923426</v>
      </c>
      <c r="J28" s="64">
        <v>2.3288997408044474</v>
      </c>
      <c r="K28" s="64">
        <v>2.3017514868875923</v>
      </c>
      <c r="L28" s="67">
        <v>2.2372404409982662</v>
      </c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</row>
    <row r="29" spans="2:23" x14ac:dyDescent="0.25">
      <c r="B29" s="141"/>
      <c r="C29" s="37" t="s">
        <v>196</v>
      </c>
      <c r="D29" s="122" t="s">
        <v>141</v>
      </c>
      <c r="E29" s="78" t="str">
        <f>+VLOOKUP(C29,[1]field_key!$A$1:$B$27,2,0)</f>
        <v>Ratio24</v>
      </c>
      <c r="F29" s="57">
        <v>2.3888700448199254</v>
      </c>
      <c r="G29" s="68">
        <v>2.3892751310311904</v>
      </c>
      <c r="H29" s="57">
        <v>2.1696251768951047</v>
      </c>
      <c r="I29" s="77">
        <v>2.2442017959923426</v>
      </c>
      <c r="J29" s="69">
        <v>2.3288997408044474</v>
      </c>
      <c r="K29" s="69">
        <v>2.3017514868875923</v>
      </c>
      <c r="L29" s="103">
        <v>2.2372404409982662</v>
      </c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</row>
    <row r="30" spans="2:23" x14ac:dyDescent="0.25">
      <c r="B30" s="141"/>
      <c r="C30" s="53" t="s">
        <v>119</v>
      </c>
      <c r="D30" s="122" t="s">
        <v>142</v>
      </c>
      <c r="E30" s="78" t="str">
        <f>+VLOOKUP(C30,[1]field_key!$A$1:$B$27,2,0)</f>
        <v>Ratio8</v>
      </c>
      <c r="F30" s="119">
        <v>0.56510073785067216</v>
      </c>
      <c r="G30" s="119">
        <v>1.0797848195996456</v>
      </c>
      <c r="H30" s="119">
        <v>1.1729663418190652</v>
      </c>
      <c r="I30" s="119">
        <v>0.94427286181948744</v>
      </c>
      <c r="J30" s="120">
        <v>0.74866168285717138</v>
      </c>
      <c r="K30" s="120">
        <v>0.27424611809090205</v>
      </c>
      <c r="L30" s="89">
        <v>0.2643897818748655</v>
      </c>
      <c r="M30" s="120"/>
      <c r="N30" s="120"/>
      <c r="O30" s="120"/>
      <c r="P30" s="120"/>
      <c r="Q30" s="120"/>
      <c r="R30" s="120"/>
      <c r="S30" s="120"/>
      <c r="T30" s="120"/>
      <c r="U30" s="120"/>
      <c r="V30" s="120"/>
      <c r="W30" s="120"/>
    </row>
    <row r="31" spans="2:23" x14ac:dyDescent="0.25">
      <c r="B31" s="141"/>
      <c r="C31" s="70" t="s">
        <v>197</v>
      </c>
      <c r="D31" s="124" t="s">
        <v>142</v>
      </c>
      <c r="E31" s="78" t="str">
        <f>+VLOOKUP(C31,[1]field_key!$A$1:$B$27,2,0)</f>
        <v>Ratio21</v>
      </c>
      <c r="F31" s="128">
        <v>0.56510073785067216</v>
      </c>
      <c r="G31" s="128">
        <v>1.0797848195996456</v>
      </c>
      <c r="H31" s="128">
        <v>1.1729663418190652</v>
      </c>
      <c r="I31" s="129">
        <v>0.94427286181948744</v>
      </c>
      <c r="J31" s="128">
        <v>0.74866168285717138</v>
      </c>
      <c r="K31" s="128">
        <v>0.27424611809090205</v>
      </c>
      <c r="L31" s="130">
        <v>0.2643897818748655</v>
      </c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</row>
    <row r="32" spans="2:23" x14ac:dyDescent="0.25">
      <c r="B32" s="142"/>
      <c r="C32" s="70" t="s">
        <v>129</v>
      </c>
      <c r="D32" s="127"/>
      <c r="E32" s="78" t="str">
        <f>+VLOOKUP(C32,[1]field_key!$A$1:$B$27,2,0)</f>
        <v>SoveringRating</v>
      </c>
      <c r="F32" s="71" t="s">
        <v>201</v>
      </c>
      <c r="G32" s="71" t="s">
        <v>201</v>
      </c>
      <c r="H32" s="71" t="s">
        <v>201</v>
      </c>
      <c r="I32" s="71" t="s">
        <v>201</v>
      </c>
      <c r="J32" s="71" t="s">
        <v>201</v>
      </c>
      <c r="K32" s="71" t="s">
        <v>201</v>
      </c>
      <c r="L32" s="71" t="s">
        <v>201</v>
      </c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</row>
    <row r="33" spans="2:23" x14ac:dyDescent="0.25">
      <c r="B33" s="58"/>
      <c r="C33" s="37"/>
      <c r="D33" s="122"/>
      <c r="E33" s="37"/>
      <c r="F33" s="55"/>
      <c r="G33" s="55"/>
      <c r="H33" s="51"/>
      <c r="I33" s="51"/>
      <c r="J33" s="51"/>
      <c r="K33" s="51"/>
      <c r="L33" s="55"/>
      <c r="M33" s="55"/>
      <c r="N33" s="51"/>
      <c r="O33" s="51"/>
      <c r="P33" s="55"/>
      <c r="Q33" s="55"/>
      <c r="R33" s="55"/>
      <c r="S33" s="55"/>
      <c r="T33" s="55"/>
      <c r="U33" s="55"/>
      <c r="V33" s="55"/>
      <c r="W33" s="55"/>
    </row>
    <row r="34" spans="2:23" x14ac:dyDescent="0.25">
      <c r="B34" s="58"/>
      <c r="C34" s="37"/>
      <c r="D34" s="122"/>
      <c r="E34" s="37"/>
      <c r="F34" s="55"/>
      <c r="G34" s="55"/>
      <c r="H34" s="51"/>
      <c r="I34" s="51"/>
      <c r="J34" s="51"/>
      <c r="K34" s="51"/>
      <c r="L34" s="55"/>
      <c r="M34" s="55"/>
      <c r="N34" s="51"/>
      <c r="O34" s="51"/>
      <c r="P34" s="55"/>
      <c r="Q34" s="55"/>
      <c r="R34" s="55"/>
      <c r="S34" s="55"/>
      <c r="T34" s="55"/>
      <c r="U34" s="55"/>
      <c r="V34" s="55"/>
      <c r="W34" s="55"/>
    </row>
    <row r="35" spans="2:23" x14ac:dyDescent="0.25">
      <c r="C35" s="37"/>
      <c r="D35" s="122"/>
      <c r="E35" s="37"/>
      <c r="F35" s="37"/>
      <c r="G35" s="37"/>
      <c r="L35" s="37"/>
      <c r="M35" s="37"/>
      <c r="P35" s="37"/>
      <c r="Q35" s="37"/>
      <c r="R35" s="37"/>
      <c r="S35" s="37"/>
    </row>
  </sheetData>
  <mergeCells count="4">
    <mergeCell ref="B26:B32"/>
    <mergeCell ref="B22:B25"/>
    <mergeCell ref="B14:B21"/>
    <mergeCell ref="B6:B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pred_data">
          <controlPr defaultSize="0" autoLine="0" r:id="rId5">
            <anchor moveWithCells="1">
              <from>
                <xdr:col>2</xdr:col>
                <xdr:colOff>76200</xdr:colOff>
                <xdr:row>0</xdr:row>
                <xdr:rowOff>76200</xdr:rowOff>
              </from>
              <to>
                <xdr:col>2</xdr:col>
                <xdr:colOff>3267075</xdr:colOff>
                <xdr:row>1</xdr:row>
                <xdr:rowOff>142875</xdr:rowOff>
              </to>
            </anchor>
          </controlPr>
        </control>
      </mc:Choice>
      <mc:Fallback>
        <control shapeId="5129" r:id="rId4" name="pred_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1.1 Oil &amp; Gas</vt:lpstr>
      <vt:lpstr>1.2 Industrials</vt:lpstr>
      <vt:lpstr>1.3 Services</vt:lpstr>
      <vt:lpstr>1.4 Pharma</vt:lpstr>
      <vt:lpstr>2 C.E.</vt:lpstr>
      <vt:lpstr>3 Algoritmo</vt:lpstr>
      <vt:lpstr>datos</vt:lpstr>
      <vt:lpstr>indicadores</vt:lpstr>
      <vt:lpstr>n_per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2018-01-31T12:55:00Z</dcterms:created>
  <dcterms:modified xsi:type="dcterms:W3CDTF">2018-03-20T21:39:13Z</dcterms:modified>
</cp:coreProperties>
</file>